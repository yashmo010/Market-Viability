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README" sheetId="1" state="visible" r:id="rId1"/>
    <sheet xmlns:r="http://schemas.openxmlformats.org/officeDocument/2006/relationships" name="Claims_vs_Recomputed" sheetId="2" state="visible" r:id="rId2"/>
    <sheet xmlns:r="http://schemas.openxmlformats.org/officeDocument/2006/relationships" name="Table1_Replication" sheetId="3" state="visible" r:id="rId3"/>
    <sheet xmlns:r="http://schemas.openxmlformats.org/officeDocument/2006/relationships" name="CV_Models" sheetId="4" state="visible" r:id="rId4"/>
    <sheet xmlns:r="http://schemas.openxmlformats.org/officeDocument/2006/relationships" name="Dataset_Stats" sheetId="5" state="visible" r:id="rId5"/>
    <sheet xmlns:r="http://schemas.openxmlformats.org/officeDocument/2006/relationships" name="Oracle_Benchmarks" sheetId="6" state="visible" r:id="rId6"/>
    <sheet xmlns:r="http://schemas.openxmlformats.org/officeDocument/2006/relationships" name="Pipeline_Issues" sheetId="7" state="visible" r:id="rId7"/>
    <sheet xmlns:r="http://schemas.openxmlformats.org/officeDocument/2006/relationships" name="Survey_Numbers" sheetId="8" state="visible" r:id="rId8"/>
    <sheet xmlns:r="http://schemas.openxmlformats.org/officeDocument/2006/relationships" name="Bridging_Recomputations" sheetId="9" state="visible" r:id="rId9"/>
  </sheets>
  <definedNames/>
  <calcPr calcId="124519" fullCalcOnLoad="1" refMode="A1" iterate="0" iterateCount="100" iterateDelta="0.0001"/>
</workbook>
</file>

<file path=xl/styles.xml><?xml version="1.0" encoding="utf-8"?>
<styleSheet xmlns="http://schemas.openxmlformats.org/spreadsheetml/2006/main">
  <numFmts count="3">
    <numFmt numFmtId="164" formatCode="0.0E+00"/>
    <numFmt numFmtId="165" formatCode="0.000"/>
    <numFmt numFmtId="166" formatCode="0.0"/>
  </numFmts>
  <fonts count="14">
    <font>
      <name val="Calibri"/>
      <charset val="1"/>
      <family val="2"/>
      <color theme="1"/>
      <sz val="11"/>
    </font>
    <font>
      <name val="Arial"/>
      <family val="0"/>
      <sz val="10"/>
    </font>
    <font>
      <name val="Arial"/>
      <family val="0"/>
      <sz val="10"/>
    </font>
    <font>
      <name val="Arial"/>
      <family val="0"/>
      <sz val="10"/>
    </font>
    <font>
      <name val="Arial"/>
      <charset val="1"/>
      <family val="0"/>
      <b val="1"/>
      <sz val="10"/>
    </font>
    <font>
      <name val="Arial"/>
      <charset val="1"/>
      <family val="0"/>
      <sz val="10"/>
    </font>
    <font>
      <name val="Arial"/>
      <charset val="1"/>
      <family val="0"/>
      <b val="1"/>
      <color rgb="FFFFFFFF"/>
      <sz val="10"/>
    </font>
    <font>
      <name val="Arial"/>
      <charset val="1"/>
      <family val="0"/>
      <i val="1"/>
      <sz val="10"/>
    </font>
    <font>
      <name val="Arial"/>
      <sz val="10"/>
    </font>
    <font>
      <name val="Arial"/>
      <b val="1"/>
      <sz val="10"/>
    </font>
    <font>
      <name val="Arial"/>
      <b val="1"/>
      <color rgb="001F2937"/>
      <sz val="14"/>
    </font>
    <font>
      <name val="Arial"/>
      <i val="1"/>
      <color rgb="006B7280"/>
      <sz val="9"/>
    </font>
    <font>
      <name val="Arial"/>
      <b val="1"/>
      <color rgb="001E3A8A"/>
      <sz val="11"/>
    </font>
    <font>
      <name val="Arial"/>
      <b val="1"/>
      <color rgb="00FFFFFF"/>
      <sz val="10"/>
    </font>
  </fonts>
  <fills count="10">
    <fill>
      <patternFill/>
    </fill>
    <fill>
      <patternFill patternType="gray125"/>
    </fill>
    <fill>
      <patternFill patternType="solid">
        <fgColor rgb="FF1F3864"/>
        <bgColor rgb="FF333333"/>
      </patternFill>
    </fill>
    <fill>
      <patternFill patternType="solid">
        <fgColor rgb="FFFFF2CC"/>
        <bgColor rgb="FFFFFFFF"/>
      </patternFill>
    </fill>
    <fill>
      <patternFill patternType="solid">
        <fgColor rgb="00FFFFFF"/>
      </patternFill>
    </fill>
    <fill>
      <patternFill patternType="solid">
        <fgColor rgb="00FCE8E6"/>
      </patternFill>
    </fill>
    <fill>
      <patternFill patternType="solid">
        <fgColor rgb="001E3A8A"/>
      </patternFill>
    </fill>
    <fill>
      <patternFill patternType="solid">
        <fgColor rgb="00E6F4EA"/>
      </patternFill>
    </fill>
    <fill>
      <patternFill patternType="solid">
        <fgColor rgb="002563EB"/>
      </patternFill>
    </fill>
    <fill>
      <patternFill patternType="solid">
        <fgColor rgb="00FEF7E0"/>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color rgb="00E0E0E0"/>
      </left>
      <right style="thin">
        <color rgb="00E0E0E0"/>
      </right>
      <top style="thin">
        <color rgb="00E0E0E0"/>
      </top>
      <bottom style="thin">
        <color rgb="00E0E0E0"/>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40">
    <xf numFmtId="0" fontId="0" fillId="0" borderId="0" applyAlignment="1" pivotButton="0" quotePrefix="0" xfId="0">
      <alignment horizontal="general" vertical="bottom"/>
    </xf>
    <xf numFmtId="0" fontId="4" fillId="0" borderId="0" applyAlignment="1" pivotButton="0" quotePrefix="0" xfId="0">
      <alignment horizontal="general" vertical="top"/>
    </xf>
    <xf numFmtId="0" fontId="5" fillId="0" borderId="0" applyAlignment="1" pivotButton="0" quotePrefix="0" xfId="0">
      <alignment horizontal="general" vertical="top" wrapText="1"/>
    </xf>
    <xf numFmtId="0" fontId="4" fillId="0" borderId="0" applyAlignment="1" pivotButton="0" quotePrefix="0" xfId="0">
      <alignment horizontal="general" vertical="bottom"/>
    </xf>
    <xf numFmtId="0" fontId="5" fillId="0" borderId="0" applyAlignment="1" pivotButton="0" quotePrefix="0" xfId="0">
      <alignment horizontal="left" vertical="bottom"/>
    </xf>
    <xf numFmtId="0" fontId="6" fillId="2" borderId="1" applyAlignment="1" pivotButton="0" quotePrefix="0" xfId="0">
      <alignment horizontal="general" vertical="center" wrapText="1"/>
    </xf>
    <xf numFmtId="0" fontId="5" fillId="0" borderId="1" applyAlignment="1" pivotButton="0" quotePrefix="0" xfId="0">
      <alignment horizontal="general" vertical="top" wrapText="1"/>
    </xf>
    <xf numFmtId="164" fontId="5" fillId="0" borderId="1" applyAlignment="1" pivotButton="0" quotePrefix="0" xfId="0">
      <alignment horizontal="general" vertical="top" wrapText="1"/>
    </xf>
    <xf numFmtId="0" fontId="5" fillId="3" borderId="1" applyAlignment="1" pivotButton="0" quotePrefix="0" xfId="0">
      <alignment horizontal="general" vertical="top" wrapText="1"/>
    </xf>
    <xf numFmtId="0" fontId="5" fillId="0" borderId="1" applyAlignment="1" pivotButton="0" quotePrefix="0" xfId="0">
      <alignment horizontal="general" vertical="bottom"/>
    </xf>
    <xf numFmtId="0" fontId="7"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top"/>
    </xf>
    <xf numFmtId="0" fontId="5" fillId="0" borderId="0" applyAlignment="1" pivotButton="0" quotePrefix="0" xfId="0">
      <alignment horizontal="general" vertical="top" wrapText="1"/>
    </xf>
    <xf numFmtId="0" fontId="4" fillId="0" borderId="0" applyAlignment="1" pivotButton="0" quotePrefix="0" xfId="0">
      <alignment horizontal="general" vertical="bottom"/>
    </xf>
    <xf numFmtId="0" fontId="5" fillId="0" borderId="0" applyAlignment="1" pivotButton="0" quotePrefix="0" xfId="0">
      <alignment horizontal="left" vertical="bottom"/>
    </xf>
    <xf numFmtId="0" fontId="6" fillId="2" borderId="1" applyAlignment="1" pivotButton="0" quotePrefix="0" xfId="0">
      <alignment horizontal="general" vertical="center" wrapText="1"/>
    </xf>
    <xf numFmtId="0" fontId="5" fillId="0" borderId="1" applyAlignment="1" pivotButton="0" quotePrefix="0" xfId="0">
      <alignment horizontal="general" vertical="top" wrapText="1"/>
    </xf>
    <xf numFmtId="164" fontId="5" fillId="0" borderId="1" applyAlignment="1" pivotButton="0" quotePrefix="0" xfId="0">
      <alignment horizontal="general" vertical="top" wrapText="1"/>
    </xf>
    <xf numFmtId="0" fontId="8" fillId="4" borderId="2" applyAlignment="1" pivotButton="0" quotePrefix="0" xfId="0">
      <alignment horizontal="general" vertical="top" wrapText="1"/>
    </xf>
    <xf numFmtId="0" fontId="9" fillId="5" borderId="2" applyAlignment="1" pivotButton="0" quotePrefix="0" xfId="0">
      <alignment horizontal="general" vertical="top" wrapText="1"/>
    </xf>
    <xf numFmtId="0" fontId="5" fillId="0" borderId="1" applyAlignment="1" pivotButton="0" quotePrefix="0" xfId="0">
      <alignment horizontal="general" vertical="bottom"/>
    </xf>
    <xf numFmtId="0" fontId="7" fillId="0" borderId="0" applyAlignment="1" pivotButton="0" quotePrefix="0" xfId="0">
      <alignment horizontal="general" vertical="bottom"/>
    </xf>
    <xf numFmtId="0" fontId="10" fillId="0" borderId="0" pivotButton="0" quotePrefix="0" xfId="0"/>
    <xf numFmtId="0" fontId="11" fillId="0" borderId="0" pivotButton="0" quotePrefix="0" xfId="0"/>
    <xf numFmtId="0" fontId="12" fillId="0" borderId="0" pivotButton="0" quotePrefix="0" xfId="0"/>
    <xf numFmtId="0" fontId="13" fillId="6" borderId="0" applyAlignment="1" pivotButton="0" quotePrefix="0" xfId="0">
      <alignment horizontal="center" vertical="center"/>
    </xf>
    <xf numFmtId="0" fontId="13" fillId="6" borderId="0" applyAlignment="1" pivotButton="0" quotePrefix="0" xfId="0">
      <alignment horizontal="left" vertical="center"/>
    </xf>
    <xf numFmtId="0" fontId="8" fillId="0" borderId="2" applyAlignment="1" pivotButton="0" quotePrefix="0" xfId="0">
      <alignment horizontal="center"/>
    </xf>
    <xf numFmtId="0" fontId="8" fillId="0" borderId="2" pivotButton="0" quotePrefix="0" xfId="0"/>
    <xf numFmtId="165" fontId="8" fillId="0" borderId="2" applyAlignment="1" pivotButton="0" quotePrefix="0" xfId="0">
      <alignment horizontal="right"/>
    </xf>
    <xf numFmtId="0" fontId="8" fillId="0" borderId="2" applyAlignment="1" pivotButton="0" quotePrefix="0" xfId="0">
      <alignment horizontal="right"/>
    </xf>
    <xf numFmtId="0" fontId="9" fillId="7" borderId="2" applyAlignment="1" pivotButton="0" quotePrefix="0" xfId="0">
      <alignment horizontal="center"/>
    </xf>
    <xf numFmtId="166" fontId="8" fillId="0" borderId="2" applyAlignment="1" pivotButton="0" quotePrefix="0" xfId="0">
      <alignment horizontal="right"/>
    </xf>
    <xf numFmtId="0" fontId="9" fillId="5" borderId="2" applyAlignment="1" pivotButton="0" quotePrefix="0" xfId="0">
      <alignment horizontal="center"/>
    </xf>
    <xf numFmtId="0" fontId="13" fillId="8" borderId="0" applyAlignment="1" pivotButton="0" quotePrefix="0" xfId="0">
      <alignment horizontal="left" vertical="center"/>
    </xf>
    <xf numFmtId="0" fontId="13" fillId="8" borderId="0" applyAlignment="1" pivotButton="0" quotePrefix="0" xfId="0">
      <alignment horizontal="center" vertical="center"/>
    </xf>
    <xf numFmtId="0" fontId="9" fillId="9" borderId="2" applyAlignment="1" pivotButton="0" quotePrefix="0" xfId="0">
      <alignment horizontal="center"/>
    </xf>
    <xf numFmtId="0" fontId="8" fillId="0" borderId="2" applyAlignment="1" pivotButton="0" quotePrefix="0" xfId="0">
      <alignmen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C11"/>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4" customWidth="1" style="11" min="1" max="1"/>
    <col width="110" customWidth="1" style="11" min="2" max="2"/>
  </cols>
  <sheetData>
    <row r="1" ht="23.85" customHeight="1" s="12">
      <c r="A1" s="13" t="inlineStr">
        <is>
          <t>Purpose</t>
        </is>
      </c>
      <c r="B1" s="14" t="inlineStr">
        <is>
          <t>Recompute the numbers in the research paper and the survey paper from the raw data, without using any result/metric file saved in the project.</t>
        </is>
      </c>
    </row>
    <row r="2" ht="46.25" customHeight="1" s="12">
      <c r="A2" s="13" t="inlineStr">
        <is>
          <t>What was used</t>
        </is>
      </c>
      <c r="B2" s="14" t="inlineStr">
        <is>
          <t>data/final/products_physical.json and reviews_physical.json (the cleaned corpus), data/extracted/aspect_scores.jsonl (per-review LLM extractions), and the repo's own source code for the fraud filter, label formula, feature builder, training settings and the algorithm-comparison script. Nothing from models/*.json, models/benchmarks/*, labels.json or features_physical.parquet was read. Labels and features were rebuilt from the raw rows.</t>
        </is>
      </c>
    </row>
    <row r="3" ht="35.05" customHeight="1" s="12">
      <c r="A3" s="13" t="inlineStr">
        <is>
          <t>What cannot be recomputed here</t>
        </is>
      </c>
      <c r="B3" s="14" t="inlineStr">
        <is>
          <t>Every number that depends on the bridging layer (specs-only predictions by an LLM) has now been recomputed and audited in sheet Bridging_Recomputations and Claims_vs_Recomputed (rows X1-X11): the n=59, n=66, n=118, and n=125 results, per-aspect bridging fidelity, ice-maker boundary diagnostics, price-free ablation, and Reddit A/B. All 58 paper claims are now compared and classified.</t>
        </is>
      </c>
    </row>
    <row r="4" ht="23.85" customHeight="1" s="12">
      <c r="A4" s="13" t="inlineStr">
        <is>
          <t>Status rule (numeric rows)</t>
        </is>
      </c>
      <c r="B4" s="14" t="inlineStr">
        <is>
          <t>Reproduced if |recomputed - paper| &lt;= tolerance; Close if within 3x tolerance; otherwise Not reproduced. Tolerances are my own assumptions (column G): 0 for counts, 0.01 for R2/AUC/correlations, 0.3 for RMSE/MAE, wider for hardware-dependent timings.</t>
        </is>
      </c>
    </row>
    <row r="5" ht="23.85" customHeight="1" s="12">
      <c r="A5" s="13" t="inlineStr">
        <is>
          <t>Why small R2 gaps are expected</t>
        </is>
      </c>
      <c r="B5" s="14" t="inlineStr">
        <is>
          <t>The feature table was rebuilt from the aspect_scores.jsonl shipped in the zip; the paper's features may have been built from an earlier extraction state. A gap of about 0.02 in R2 is therefore not alarming; the gaps in the data counts and the price baseline are.</t>
        </is>
      </c>
    </row>
    <row r="6" ht="15" customHeight="1" s="12">
      <c r="A6" s="13" t="inlineStr">
        <is>
          <t>Software</t>
        </is>
      </c>
      <c r="B6" s="14" t="inlineStr">
        <is>
          <t>Python, pandas, scikit-learn, XGBoost (seed 42, 5-fold KFold shuffle) with the hyperparameters in src/training/run_training.py.</t>
        </is>
      </c>
    </row>
    <row r="7" ht="15" customHeight="1" s="12">
      <c r="A7" s="13" t="inlineStr">
        <is>
          <t>Counts (formulas)</t>
        </is>
      </c>
      <c r="B7" s="14" t="n"/>
      <c r="C7" t="inlineStr">
        <is>
          <t>Evaluated Value</t>
        </is>
      </c>
    </row>
    <row r="8" ht="15" customHeight="1" s="12">
      <c r="A8" s="15" t="inlineStr">
        <is>
          <t>Reproduced</t>
        </is>
      </c>
      <c r="B8" s="16">
        <f>COUNTIF(Claims_vs_Recomputed!I2:I59,"Reproduced")</f>
        <v/>
      </c>
      <c r="C8" t="n">
        <v>33</v>
      </c>
    </row>
    <row r="9" ht="15" customHeight="1" s="12">
      <c r="A9" s="15" t="inlineStr">
        <is>
          <t>Close</t>
        </is>
      </c>
      <c r="B9" s="16">
        <f>COUNTIF(Claims_vs_Recomputed!I2:I59,"Close")</f>
        <v/>
      </c>
      <c r="C9" t="n">
        <v>6</v>
      </c>
    </row>
    <row r="10" ht="15" customHeight="1" s="12">
      <c r="A10" s="15" t="inlineStr">
        <is>
          <t>Not reproduced</t>
        </is>
      </c>
      <c r="B10" s="16">
        <f>COUNTIF(Claims_vs_Recomputed!I2:I59,"Not reproduced")</f>
        <v/>
      </c>
      <c r="C10" t="n">
        <v>19</v>
      </c>
    </row>
    <row r="11" ht="15" customHeight="1" s="12">
      <c r="A11" s="15" t="inlineStr">
        <is>
          <t>Cannot recompute here</t>
        </is>
      </c>
      <c r="B11" s="16">
        <f>COUNTIF(Claims_vs_Recomputed!I2:I59,"Cannot recompute here")</f>
        <v/>
      </c>
      <c r="C11" t="n">
        <v>0</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J59"/>
  <sheetViews>
    <sheetView showFormulas="0" showGridLines="1" showRowColHeaders="1" showZeros="1" rightToLeft="0" tabSelected="0" showOutlineSymbols="1" defaultGridColor="1" view="normal" topLeftCell="A1" colorId="64" zoomScale="100" zoomScaleNormal="100" zoomScalePageLayoutView="100" workbookViewId="0">
      <pane xSplit="4" ySplit="1" topLeftCell="E2" activePane="bottomRight" state="frozen"/>
      <selection pane="topLeft" activeCell="A1" activeCellId="0" sqref="A1"/>
      <selection pane="topRight" activeCell="E1" activeCellId="0" sqref="E1"/>
      <selection pane="bottomLeft" activeCell="A2" activeCellId="0" sqref="A2"/>
      <selection pane="bottomRight" activeCell="A1" activeCellId="0" sqref="A1"/>
    </sheetView>
  </sheetViews>
  <sheetFormatPr baseColWidth="8" defaultColWidth="8.6796875" defaultRowHeight="15" zeroHeight="0" outlineLevelRow="0"/>
  <cols>
    <col width="6" customWidth="1" style="11" min="1" max="1"/>
    <col width="14" customWidth="1" style="11" min="2" max="2"/>
    <col width="16" customWidth="1" style="11" min="3" max="3"/>
    <col width="52" customWidth="1" style="11" min="4" max="4"/>
    <col width="13" customWidth="1" style="11" min="5" max="6"/>
    <col width="11" customWidth="1" style="11" min="7" max="7"/>
    <col width="14" customWidth="1" style="11" min="8" max="8"/>
    <col width="18" customWidth="1" style="11" min="9" max="9"/>
    <col width="70" customWidth="1" style="11" min="10" max="10"/>
  </cols>
  <sheetData>
    <row r="1" ht="31.5" customHeight="1" s="12">
      <c r="A1" s="17" t="inlineStr">
        <is>
          <t>ID</t>
        </is>
      </c>
      <c r="B1" s="17" t="inlineStr">
        <is>
          <t>Paper</t>
        </is>
      </c>
      <c r="C1" s="17" t="inlineStr">
        <is>
          <t>Section</t>
        </is>
      </c>
      <c r="D1" s="17" t="inlineStr">
        <is>
          <t>Metric / claim</t>
        </is>
      </c>
      <c r="E1" s="17" t="inlineStr">
        <is>
          <t>Paper value</t>
        </is>
      </c>
      <c r="F1" s="17" t="inlineStr">
        <is>
          <t>Recomputed</t>
        </is>
      </c>
      <c r="G1" s="17" t="inlineStr">
        <is>
          <t>Abs. tolerance</t>
        </is>
      </c>
      <c r="H1" s="17" t="inlineStr">
        <is>
          <t>Difference (recomputed − paper)</t>
        </is>
      </c>
      <c r="I1" s="17" t="inlineStr">
        <is>
          <t>Status</t>
        </is>
      </c>
      <c r="J1" s="17" t="inlineStr">
        <is>
          <t>Notes</t>
        </is>
      </c>
    </row>
    <row r="2" ht="15" customHeight="1" s="12">
      <c r="A2" s="18" t="inlineStr">
        <is>
          <t>D1</t>
        </is>
      </c>
      <c r="B2" s="18" t="inlineStr">
        <is>
          <t>Both</t>
        </is>
      </c>
      <c r="C2" s="18" t="inlineStr">
        <is>
          <t>III Data</t>
        </is>
      </c>
      <c r="D2" s="18" t="inlineStr">
        <is>
          <t>Total reviews</t>
        </is>
      </c>
      <c r="E2" s="18" t="n">
        <v>43599</v>
      </c>
      <c r="F2" s="18" t="n">
        <v>43599</v>
      </c>
      <c r="G2" s="18" t="n">
        <v>0</v>
      </c>
      <c r="H2" s="18">
        <f>IF(AND(ISNUMBER(E2),ISNUMBER(F2)),F2-E2,"")</f>
        <v/>
      </c>
      <c r="I2" s="18">
        <f>IF(AND(ISNUMBER(E2),ISNUMBER(F2)),IF(ABS(F2-E2)&lt;=G2,"Reproduced",IF(ABS(F2-E2)&lt;=3*G2,"Close","Not reproduced")),"")</f>
        <v/>
      </c>
      <c r="J2" s="18" t="inlineStr">
        <is>
          <t>Row count of data/final/reviews_physical.json.</t>
        </is>
      </c>
    </row>
    <row r="3" ht="15" customHeight="1" s="12">
      <c r="A3" s="18" t="inlineStr">
        <is>
          <t>D2</t>
        </is>
      </c>
      <c r="B3" s="18" t="inlineStr">
        <is>
          <t>Both</t>
        </is>
      </c>
      <c r="C3" s="18" t="inlineStr">
        <is>
          <t>III Data</t>
        </is>
      </c>
      <c r="D3" s="18" t="inlineStr">
        <is>
          <t>Products initially collected</t>
        </is>
      </c>
      <c r="E3" s="18" t="n">
        <v>640</v>
      </c>
      <c r="F3" s="18" t="n">
        <v>640</v>
      </c>
      <c r="G3" s="18" t="n">
        <v>0</v>
      </c>
      <c r="H3" s="18">
        <f>IF(AND(ISNUMBER(E3),ISNUMBER(F3)),F3-E3,"")</f>
        <v/>
      </c>
      <c r="I3" s="18">
        <f>IF(AND(ISNUMBER(E3),ISNUMBER(F3)),IF(ABS(F3-E3)&lt;=G3,"Reproduced",IF(ABS(F3-E3)&lt;=3*G3,"Close","Not reproduced")),"")</f>
        <v/>
      </c>
      <c r="J3" s="18" t="n"/>
    </row>
    <row r="4" ht="23.85" customHeight="1" s="12">
      <c r="A4" s="18" t="inlineStr">
        <is>
          <t>D3</t>
        </is>
      </c>
      <c r="B4" s="18" t="inlineStr">
        <is>
          <t>Both</t>
        </is>
      </c>
      <c r="C4" s="18" t="inlineStr">
        <is>
          <t>III Data</t>
        </is>
      </c>
      <c r="D4" s="18" t="inlineStr">
        <is>
          <t>Products excluded by fraud filter</t>
        </is>
      </c>
      <c r="E4" s="18" t="n">
        <v>9</v>
      </c>
      <c r="F4" s="18" t="n">
        <v>9</v>
      </c>
      <c r="G4" s="18" t="n">
        <v>0</v>
      </c>
      <c r="H4" s="18">
        <f>IF(AND(ISNUMBER(E4),ISNUMBER(F4)),F4-E4,"")</f>
        <v/>
      </c>
      <c r="I4" s="18">
        <f>IF(AND(ISNUMBER(E4),ISNUMBER(F4)),IF(ABS(F4-E4)&lt;=G4,"Reproduced",IF(ABS(F4-E4)&lt;=3*G4,"Close","Not reproduced")),"")</f>
        <v/>
      </c>
      <c r="J4" s="18" t="inlineStr">
        <is>
          <t>Repo filter functions rerun on raw reviews: 6 burst + 3 extreme-J flags; the near-duplicate flag fired 0 times (paper says 'bursts or severe semantic duplication').</t>
        </is>
      </c>
    </row>
    <row r="5" ht="15" customHeight="1" s="12">
      <c r="A5" s="18" t="inlineStr">
        <is>
          <t>D4</t>
        </is>
      </c>
      <c r="B5" s="18" t="inlineStr">
        <is>
          <t>Both</t>
        </is>
      </c>
      <c r="C5" s="18" t="inlineStr">
        <is>
          <t>III Data</t>
        </is>
      </c>
      <c r="D5" s="18" t="inlineStr">
        <is>
          <t>Products retained</t>
        </is>
      </c>
      <c r="E5" s="18" t="n">
        <v>631</v>
      </c>
      <c r="F5" s="18" t="n">
        <v>631</v>
      </c>
      <c r="G5" s="18" t="n">
        <v>0</v>
      </c>
      <c r="H5" s="18">
        <f>IF(AND(ISNUMBER(E5),ISNUMBER(F5)),F5-E5,"")</f>
        <v/>
      </c>
      <c r="I5" s="18">
        <f>IF(AND(ISNUMBER(E5),ISNUMBER(F5)),IF(ABS(F5-E5)&lt;=G5,"Reproduced",IF(ABS(F5-E5)&lt;=3*G5,"Close","Not reproduced")),"")</f>
        <v/>
      </c>
      <c r="J5" s="18" t="n"/>
    </row>
    <row r="6" ht="15" customHeight="1" s="12">
      <c r="A6" s="18" t="inlineStr">
        <is>
          <t>D5</t>
        </is>
      </c>
      <c r="B6" s="18" t="inlineStr">
        <is>
          <t>Research</t>
        </is>
      </c>
      <c r="C6" s="18" t="inlineStr">
        <is>
          <t>III Data</t>
        </is>
      </c>
      <c r="D6" s="18" t="inlineStr">
        <is>
          <t>Median reviews per retained product</t>
        </is>
      </c>
      <c r="E6" s="18" t="n">
        <v>68</v>
      </c>
      <c r="F6" s="18" t="n">
        <v>47</v>
      </c>
      <c r="G6" s="18" t="n">
        <v>3</v>
      </c>
      <c r="H6" s="18">
        <f>IF(AND(ISNUMBER(E6),ISNUMBER(F6)),F6-E6,"")</f>
        <v/>
      </c>
      <c r="I6" s="18">
        <f>IF(AND(ISNUMBER(E6),ISNUMBER(F6)),IF(ABS(F6-E6)&lt;=G6,"Reproduced",IF(ABS(F6-E6)&lt;=3*G6,"Close","Not reproduced")),"")</f>
        <v/>
      </c>
      <c r="J6" s="18" t="inlineStr">
        <is>
          <t>Reviews are capped at 300 per product in the cleaning step.</t>
        </is>
      </c>
    </row>
    <row r="7" ht="15" customHeight="1" s="12">
      <c r="A7" s="18" t="inlineStr">
        <is>
          <t>D6</t>
        </is>
      </c>
      <c r="B7" s="18" t="inlineStr">
        <is>
          <t>Research</t>
        </is>
      </c>
      <c r="C7" s="18" t="inlineStr">
        <is>
          <t>III Data</t>
        </is>
      </c>
      <c r="D7" s="18" t="inlineStr">
        <is>
          <t>Reviews per product, 25th percentile</t>
        </is>
      </c>
      <c r="E7" s="18" t="n">
        <v>34</v>
      </c>
      <c r="F7" s="18" t="n">
        <v>21</v>
      </c>
      <c r="G7" s="18" t="n">
        <v>3</v>
      </c>
      <c r="H7" s="18">
        <f>IF(AND(ISNUMBER(E7),ISNUMBER(F7)),F7-E7,"")</f>
        <v/>
      </c>
      <c r="I7" s="18">
        <f>IF(AND(ISNUMBER(E7),ISNUMBER(F7)),IF(ABS(F7-E7)&lt;=G7,"Reproduced",IF(ABS(F7-E7)&lt;=3*G7,"Close","Not reproduced")),"")</f>
        <v/>
      </c>
      <c r="J7" s="18" t="n"/>
    </row>
    <row r="8" ht="15" customHeight="1" s="12">
      <c r="A8" s="18" t="inlineStr">
        <is>
          <t>D7</t>
        </is>
      </c>
      <c r="B8" s="18" t="inlineStr">
        <is>
          <t>Research</t>
        </is>
      </c>
      <c r="C8" s="18" t="inlineStr">
        <is>
          <t>III Data</t>
        </is>
      </c>
      <c r="D8" s="18" t="inlineStr">
        <is>
          <t>Reviews per product, 75th percentile</t>
        </is>
      </c>
      <c r="E8" s="18" t="n">
        <v>142</v>
      </c>
      <c r="F8" s="18" t="n">
        <v>74.5</v>
      </c>
      <c r="G8" s="18" t="n">
        <v>5</v>
      </c>
      <c r="H8" s="18">
        <f>IF(AND(ISNUMBER(E8),ISNUMBER(F8)),F8-E8,"")</f>
        <v/>
      </c>
      <c r="I8" s="18">
        <f>IF(AND(ISNUMBER(E8),ISNUMBER(F8)),IF(ABS(F8-E8)&lt;=G8,"Reproduced",IF(ABS(F8-E8)&lt;=3*G8,"Close","Not reproduced")),"")</f>
        <v/>
      </c>
      <c r="J8" s="18" t="n"/>
    </row>
    <row r="9" ht="35.05" customHeight="1" s="12">
      <c r="A9" s="18" t="inlineStr">
        <is>
          <t>D8</t>
        </is>
      </c>
      <c r="B9" s="18" t="inlineStr">
        <is>
          <t>Research</t>
        </is>
      </c>
      <c r="C9" s="18" t="inlineStr">
        <is>
          <t>III / I</t>
        </is>
      </c>
      <c r="D9" s="18" t="inlineStr">
        <is>
          <t>Reviews that actually have aspect-extraction rows (paper: extraction 'over 43,599 reviews')</t>
        </is>
      </c>
      <c r="E9" s="18" t="n">
        <v>43599</v>
      </c>
      <c r="F9" s="18" t="n">
        <v>29410</v>
      </c>
      <c r="G9" s="18" t="n">
        <v>0</v>
      </c>
      <c r="H9" s="18">
        <f>IF(AND(ISNUMBER(E9),ISNUMBER(F9)),F9-E9,"")</f>
        <v/>
      </c>
      <c r="I9" s="18">
        <f>IF(AND(ISNUMBER(E9),ISNUMBER(F9)),IF(ABS(F9-E9)&lt;=G9,"Reproduced",IF(ABS(F9-E9)&lt;=3*G9,"Close","Not reproduced")),"")</f>
        <v/>
      </c>
      <c r="J9" s="18" t="inlineStr">
        <is>
          <t>Only 67.5% of current reviews have a matching extraction row; 32,477 rows (conf&gt;=0.3, product in set) feed the feature table, some from review IDs no longer in the corpus. Coverage by category: see Dataset_Stats.</t>
        </is>
      </c>
    </row>
    <row r="10" ht="15" customHeight="1" s="12">
      <c r="A10" s="18" t="inlineStr">
        <is>
          <t>T1</t>
        </is>
      </c>
      <c r="B10" s="18" t="inlineStr">
        <is>
          <t>Research</t>
        </is>
      </c>
      <c r="C10" s="18" t="inlineStr">
        <is>
          <t>V-B Temporal</t>
        </is>
      </c>
      <c r="D10" s="18" t="inlineStr">
        <is>
          <t>Products launched on/before 31 Oct 2021 (of 640)</t>
        </is>
      </c>
      <c r="E10" s="18" t="n">
        <v>510</v>
      </c>
      <c r="F10" s="18" t="n">
        <v>510</v>
      </c>
      <c r="G10" s="18" t="n">
        <v>0</v>
      </c>
      <c r="H10" s="18">
        <f>IF(AND(ISNUMBER(E10),ISNUMBER(F10)),F10-E10,"")</f>
        <v/>
      </c>
      <c r="I10" s="18">
        <f>IF(AND(ISNUMBER(E10),ISNUMBER(F10)),IF(ABS(F10-E10)&lt;=G10,"Reproduced",IF(ABS(F10-E10)&lt;=3*G10,"Close","Not reproduced")),"")</f>
        <v/>
      </c>
      <c r="J10" s="18" t="inlineStr">
        <is>
          <t>Launch proxy = first review timestamp.</t>
        </is>
      </c>
    </row>
    <row r="11" ht="15" customHeight="1" s="12">
      <c r="A11" s="18" t="inlineStr">
        <is>
          <t>T2</t>
        </is>
      </c>
      <c r="B11" s="18" t="inlineStr">
        <is>
          <t>Research</t>
        </is>
      </c>
      <c r="C11" s="18" t="inlineStr">
        <is>
          <t>V-B Temporal</t>
        </is>
      </c>
      <c r="D11" s="18" t="inlineStr">
        <is>
          <t>Products launched after cutoff (of 640)</t>
        </is>
      </c>
      <c r="E11" s="18" t="n">
        <v>130</v>
      </c>
      <c r="F11" s="18" t="n">
        <v>130</v>
      </c>
      <c r="G11" s="18" t="n">
        <v>0</v>
      </c>
      <c r="H11" s="18">
        <f>IF(AND(ISNUMBER(E11),ISNUMBER(F11)),F11-E11,"")</f>
        <v/>
      </c>
      <c r="I11" s="18">
        <f>IF(AND(ISNUMBER(E11),ISNUMBER(F11)),IF(ABS(F11-E11)&lt;=G11,"Reproduced",IF(ABS(F11-E11)&lt;=3*G11,"Close","Not reproduced")),"")</f>
        <v/>
      </c>
      <c r="J11" s="18" t="n"/>
    </row>
    <row r="12" ht="15" customHeight="1" s="12">
      <c r="A12" s="18" t="inlineStr">
        <is>
          <t>T3</t>
        </is>
      </c>
      <c r="B12" s="18" t="inlineStr">
        <is>
          <t>Research</t>
        </is>
      </c>
      <c r="C12" s="18" t="inlineStr">
        <is>
          <t>V-B Temporal</t>
        </is>
      </c>
      <c r="D12" s="18" t="inlineStr">
        <is>
          <t>Post-cutoff products excluded by fraud filter</t>
        </is>
      </c>
      <c r="E12" s="18" t="n">
        <v>9</v>
      </c>
      <c r="F12" s="18" t="n">
        <v>6</v>
      </c>
      <c r="G12" s="18" t="n">
        <v>0</v>
      </c>
      <c r="H12" s="18">
        <f>IF(AND(ISNUMBER(E12),ISNUMBER(F12)),F12-E12,"")</f>
        <v/>
      </c>
      <c r="I12" s="18">
        <f>IF(AND(ISNUMBER(E12),ISNUMBER(F12)),IF(ABS(F12-E12)&lt;=G12,"Reproduced",IF(ABS(F12-E12)&lt;=3*G12,"Close","Not reproduced")),"")</f>
        <v/>
      </c>
      <c r="J12" s="18" t="inlineStr">
        <is>
          <t>All 9 fraud products total across the whole set; only 6 are post-cutoff.</t>
        </is>
      </c>
    </row>
    <row r="13" ht="23.85" customHeight="1" s="12">
      <c r="A13" s="18" t="inlineStr">
        <is>
          <t>T4</t>
        </is>
      </c>
      <c r="B13" s="18" t="inlineStr">
        <is>
          <t>Research</t>
        </is>
      </c>
      <c r="C13" s="18" t="inlineStr">
        <is>
          <t>V-B Temporal</t>
        </is>
      </c>
      <c r="D13" s="18" t="inlineStr">
        <is>
          <t>Post-cutoff products failing maturity (&lt;30 reviews)</t>
        </is>
      </c>
      <c r="E13" s="18" t="n">
        <v>55</v>
      </c>
      <c r="F13" s="18" t="n">
        <v>73</v>
      </c>
      <c r="G13" s="18" t="n">
        <v>0</v>
      </c>
      <c r="H13" s="18">
        <f>IF(AND(ISNUMBER(E13),ISNUMBER(F13)),F13-E13,"")</f>
        <v/>
      </c>
      <c r="I13" s="18">
        <f>IF(AND(ISNUMBER(E13),ISNUMBER(F13)),IF(ABS(F13-E13)&lt;=G13,"Reproduced",IF(ABS(F13-E13)&lt;=3*G13,"Close","Not reproduced")),"")</f>
        <v/>
      </c>
      <c r="J13" s="18" t="inlineStr">
        <is>
          <t>73 among clean post-cutoff products (77 incl. fraud). No threshold I tried (10/15/20/30 reviews; lifetime ratings) gives 55.</t>
        </is>
      </c>
    </row>
    <row r="14" ht="15" customHeight="1" s="12">
      <c r="A14" s="18" t="inlineStr">
        <is>
          <t>T5</t>
        </is>
      </c>
      <c r="B14" s="18" t="inlineStr">
        <is>
          <t>Research</t>
        </is>
      </c>
      <c r="C14" s="18" t="inlineStr">
        <is>
          <t>V-B Temporal</t>
        </is>
      </c>
      <c r="D14" s="18" t="inlineStr">
        <is>
          <t>Mature post-cutoff evaluation products (n)</t>
        </is>
      </c>
      <c r="E14" s="18" t="n">
        <v>66</v>
      </c>
      <c r="F14" s="18" t="n">
        <v>51</v>
      </c>
      <c r="G14" s="18" t="n">
        <v>0</v>
      </c>
      <c r="H14" s="18">
        <f>IF(AND(ISNUMBER(E14),ISNUMBER(F14)),F14-E14,"")</f>
        <v/>
      </c>
      <c r="I14" s="18">
        <f>IF(AND(ISNUMBER(E14),ISNUMBER(F14)),IF(ABS(F14-E14)&lt;=G14,"Reproduced",IF(ABS(F14-E14)&lt;=3*G14,"Close","Not reproduced")),"")</f>
        <v/>
      </c>
      <c r="J14" s="18" t="inlineStr">
        <is>
          <t>Pivotal for the n=66 result (rho 0.545): the mature set cannot be rebuilt from the data.</t>
        </is>
      </c>
    </row>
    <row r="15" ht="15" customHeight="1" s="12">
      <c r="A15" s="18" t="inlineStr">
        <is>
          <t>T6</t>
        </is>
      </c>
      <c r="B15" s="18" t="inlineStr">
        <is>
          <t>Research</t>
        </is>
      </c>
      <c r="C15" s="18" t="inlineStr">
        <is>
          <t>V-B Temporal</t>
        </is>
      </c>
      <c r="D15" s="18" t="inlineStr">
        <is>
          <t>Clean post-cutoff products, calendar cutoff</t>
        </is>
      </c>
      <c r="E15" s="18" t="n">
        <v>121</v>
      </c>
      <c r="F15" s="18" t="n">
        <v>124</v>
      </c>
      <c r="G15" s="18" t="n">
        <v>0</v>
      </c>
      <c r="H15" s="18">
        <f>IF(AND(ISNUMBER(E15),ISNUMBER(F15)),F15-E15,"")</f>
        <v/>
      </c>
      <c r="I15" s="18">
        <f>IF(AND(ISNUMBER(E15),ISNUMBER(F15)),IF(ABS(F15-E15)&lt;=G15,"Reproduced",IF(ABS(F15-E15)&lt;=3*G15,"Close","Not reproduced")),"")</f>
        <v/>
      </c>
      <c r="J15" s="18" t="n"/>
    </row>
    <row r="16" ht="15" customHeight="1" s="12">
      <c r="A16" s="18" t="inlineStr">
        <is>
          <t>T7</t>
        </is>
      </c>
      <c r="B16" s="18" t="inlineStr">
        <is>
          <t>Research</t>
        </is>
      </c>
      <c r="C16" s="18" t="inlineStr">
        <is>
          <t>V-B Temporal</t>
        </is>
      </c>
      <c r="D16" s="18" t="inlineStr">
        <is>
          <t>80/20 quantile split: training products</t>
        </is>
      </c>
      <c r="E16" s="18" t="n">
        <v>505</v>
      </c>
      <c r="F16" s="18" t="n">
        <v>504</v>
      </c>
      <c r="G16" s="18" t="n">
        <v>0</v>
      </c>
      <c r="H16" s="18">
        <f>IF(AND(ISNUMBER(E16),ISNUMBER(F16)),F16-E16,"")</f>
        <v/>
      </c>
      <c r="I16" s="18">
        <f>IF(AND(ISNUMBER(E16),ISNUMBER(F16)),IF(ABS(F16-E16)&lt;=G16,"Reproduced",IF(ABS(F16-E16)&lt;=3*G16,"Close","Not reproduced")),"")</f>
        <v/>
      </c>
      <c r="J16" s="18" t="inlineStr">
        <is>
          <t>Cutoff date of the 80th percentile = 2021-10-20.</t>
        </is>
      </c>
    </row>
    <row r="17" ht="15" customHeight="1" s="12">
      <c r="A17" s="18" t="inlineStr">
        <is>
          <t>T8</t>
        </is>
      </c>
      <c r="B17" s="18" t="inlineStr">
        <is>
          <t>Research</t>
        </is>
      </c>
      <c r="C17" s="18" t="inlineStr">
        <is>
          <t>V-B Temporal</t>
        </is>
      </c>
      <c r="D17" s="18" t="inlineStr">
        <is>
          <t>80/20 quantile split: test products</t>
        </is>
      </c>
      <c r="E17" s="18" t="n">
        <v>126</v>
      </c>
      <c r="F17" s="18" t="n">
        <v>127</v>
      </c>
      <c r="G17" s="18" t="n">
        <v>0</v>
      </c>
      <c r="H17" s="18">
        <f>IF(AND(ISNUMBER(E17),ISNUMBER(F17)),F17-E17,"")</f>
        <v/>
      </c>
      <c r="I17" s="18">
        <f>IF(AND(ISNUMBER(E17),ISNUMBER(F17)),IF(ABS(F17-E17)&lt;=G17,"Reproduced",IF(ABS(F17-E17)&lt;=3*G17,"Close","Not reproduced")),"")</f>
        <v/>
      </c>
      <c r="J17" s="18" t="n"/>
    </row>
    <row r="18" ht="15" customHeight="1" s="12">
      <c r="A18" s="18" t="inlineStr">
        <is>
          <t>L1</t>
        </is>
      </c>
      <c r="B18" s="18" t="inlineStr">
        <is>
          <t>Both</t>
        </is>
      </c>
      <c r="C18" s="18" t="inlineStr">
        <is>
          <t>III Label</t>
        </is>
      </c>
      <c r="D18" s="18" t="inlineStr">
        <is>
          <t>Spearman: volume-heavy (50/30/20) vs baseline weights</t>
        </is>
      </c>
      <c r="E18" s="18" t="n">
        <v>0.9923</v>
      </c>
      <c r="F18" s="18" t="n">
        <v>0.9923</v>
      </c>
      <c r="G18" s="18" t="n">
        <v>0.0005</v>
      </c>
      <c r="H18" s="18">
        <f>IF(AND(ISNUMBER(E18),ISNUMBER(F18)),F18-E18,"")</f>
        <v/>
      </c>
      <c r="I18" s="18">
        <f>IF(AND(ISNUMBER(E18),ISNUMBER(F18)),IF(ABS(F18-E18)&lt;=G18,"Reproduced",IF(ABS(F18-E18)&lt;=3*G18,"Close","Not reproduced")),"")</f>
        <v/>
      </c>
      <c r="J18" s="18" t="inlineStr">
        <is>
          <t>Reproduced on 631 retained products.</t>
        </is>
      </c>
    </row>
    <row r="19" ht="15" customHeight="1" s="12">
      <c r="A19" s="18" t="inlineStr">
        <is>
          <t>L2</t>
        </is>
      </c>
      <c r="B19" s="18" t="inlineStr">
        <is>
          <t>Both</t>
        </is>
      </c>
      <c r="C19" s="18" t="inlineStr">
        <is>
          <t>III Label</t>
        </is>
      </c>
      <c r="D19" s="18" t="inlineStr">
        <is>
          <t>Spearman: rating-heavy (30/40/30) vs baseline</t>
        </is>
      </c>
      <c r="E19" s="18" t="n">
        <v>0.9887</v>
      </c>
      <c r="F19" s="18" t="n">
        <v>0.9887</v>
      </c>
      <c r="G19" s="18" t="n">
        <v>0.0005</v>
      </c>
      <c r="H19" s="18">
        <f>IF(AND(ISNUMBER(E19),ISNUMBER(F19)),F19-E19,"")</f>
        <v/>
      </c>
      <c r="I19" s="18">
        <f>IF(AND(ISNUMBER(E19),ISNUMBER(F19)),IF(ABS(F19-E19)&lt;=G19,"Reproduced",IF(ABS(F19-E19)&lt;=3*G19,"Close","Not reproduced")),"")</f>
        <v/>
      </c>
      <c r="J19" s="18" t="n"/>
    </row>
    <row r="20" ht="23.85" customHeight="1" s="12">
      <c r="A20" s="18" t="inlineStr">
        <is>
          <t>L3</t>
        </is>
      </c>
      <c r="B20" s="18" t="inlineStr">
        <is>
          <t>Both</t>
        </is>
      </c>
      <c r="C20" s="18" t="inlineStr">
        <is>
          <t>III Label</t>
        </is>
      </c>
      <c r="D20" s="18" t="inlineStr">
        <is>
          <t>Spearman: equal weights vs baseline</t>
        </is>
      </c>
      <c r="E20" s="18" t="n">
        <v>0.9958</v>
      </c>
      <c r="F20" s="18" t="n">
        <v>0.9958</v>
      </c>
      <c r="G20" s="18" t="n">
        <v>0.0005</v>
      </c>
      <c r="H20" s="18">
        <f>IF(AND(ISNUMBER(E20),ISNUMBER(F20)),F20-E20,"")</f>
        <v/>
      </c>
      <c r="I20" s="18">
        <f>IF(AND(ISNUMBER(E20),ISNUMBER(F20)),IF(ABS(F20-E20)&lt;=G20,"Reproduced",IF(ABS(F20-E20)&lt;=3*G20,"Close","Not reproduced")),"")</f>
        <v/>
      </c>
      <c r="J20" s="18" t="inlineStr">
        <is>
          <t>All three agree because the three components are normalised the same way; this tests numeric stability only.</t>
        </is>
      </c>
    </row>
    <row r="21" ht="23.85" customHeight="1" s="12">
      <c r="A21" s="18" t="inlineStr">
        <is>
          <t>S1</t>
        </is>
      </c>
      <c r="B21" s="18" t="inlineStr">
        <is>
          <t>Research (corrected draft)</t>
        </is>
      </c>
      <c r="C21" s="18" t="inlineStr">
        <is>
          <t>VIII Survivorship</t>
        </is>
      </c>
      <c r="D21" s="18" t="inlineStr">
        <is>
          <t>Minimum lifetime ratings among retained products</t>
        </is>
      </c>
      <c r="E21" s="18" t="n">
        <v>97</v>
      </c>
      <c r="F21" s="18" t="n">
        <v>97</v>
      </c>
      <c r="G21" s="18" t="n">
        <v>0</v>
      </c>
      <c r="H21" s="18">
        <f>IF(AND(ISNUMBER(E21),ISNUMBER(F21)),F21-E21,"")</f>
        <v/>
      </c>
      <c r="I21" s="18">
        <f>IF(AND(ISNUMBER(E21),ISNUMBER(F21)),IF(ABS(F21-E21)&lt;=G21,"Reproduced",IF(ABS(F21-E21)&lt;=3*G21,"Close","Not reproduced")),"")</f>
        <v/>
      </c>
      <c r="J21" s="18" t="inlineStr">
        <is>
          <t>Number appears in my corrected draft, recomputed from products_physical.json.</t>
        </is>
      </c>
    </row>
    <row r="22" ht="23.85" customHeight="1" s="12">
      <c r="A22" s="18" t="inlineStr">
        <is>
          <t>S2</t>
        </is>
      </c>
      <c r="B22" s="18" t="inlineStr">
        <is>
          <t>Research (corrected draft)</t>
        </is>
      </c>
      <c r="C22" s="18" t="inlineStr">
        <is>
          <t>VIII Survivorship</t>
        </is>
      </c>
      <c r="D22" s="18" t="inlineStr">
        <is>
          <t>10th percentile lifetime ratings</t>
        </is>
      </c>
      <c r="E22" s="18" t="n">
        <v>314</v>
      </c>
      <c r="F22" s="18" t="n">
        <v>317</v>
      </c>
      <c r="G22" s="18" t="n">
        <v>5</v>
      </c>
      <c r="H22" s="18">
        <f>IF(AND(ISNUMBER(E22),ISNUMBER(F22)),F22-E22,"")</f>
        <v/>
      </c>
      <c r="I22" s="18">
        <f>IF(AND(ISNUMBER(E22),ISNUMBER(F22)),IF(ABS(F22-E22)&lt;=G22,"Reproduced",IF(ABS(F22-E22)&lt;=3*G22,"Close","Not reproduced")),"")</f>
        <v/>
      </c>
      <c r="J22" s="18" t="n"/>
    </row>
    <row r="23" ht="23.85" customHeight="1" s="12">
      <c r="A23" s="18" t="inlineStr">
        <is>
          <t>S3</t>
        </is>
      </c>
      <c r="B23" s="18" t="inlineStr">
        <is>
          <t>Research (corrected draft)</t>
        </is>
      </c>
      <c r="C23" s="18" t="inlineStr">
        <is>
          <t>VIII Survivorship</t>
        </is>
      </c>
      <c r="D23" s="18" t="inlineStr">
        <is>
          <t>Median lifetime ratings</t>
        </is>
      </c>
      <c r="E23" s="18" t="n">
        <v>5100</v>
      </c>
      <c r="F23" s="18" t="n">
        <v>5177</v>
      </c>
      <c r="G23" s="18" t="n">
        <v>100</v>
      </c>
      <c r="H23" s="18">
        <f>IF(AND(ISNUMBER(E23),ISNUMBER(F23)),F23-E23,"")</f>
        <v/>
      </c>
      <c r="I23" s="18">
        <f>IF(AND(ISNUMBER(E23),ISNUMBER(F23)),IF(ABS(F23-E23)&lt;=G23,"Reproduced",IF(ABS(F23-E23)&lt;=3*G23,"Close","Not reproduced")),"")</f>
        <v/>
      </c>
      <c r="J23" s="18" t="n"/>
    </row>
    <row r="24" ht="15" customHeight="1" s="12">
      <c r="A24" s="18" t="inlineStr">
        <is>
          <t>M1</t>
        </is>
      </c>
      <c r="B24" s="18" t="inlineStr">
        <is>
          <t>Research</t>
        </is>
      </c>
      <c r="C24" s="18" t="inlineStr">
        <is>
          <t>IV Models</t>
        </is>
      </c>
      <c r="D24" s="18" t="inlineStr">
        <is>
          <t>Constrained XGBoost, aspects+price+brand: CV R2</t>
        </is>
      </c>
      <c r="E24" s="18" t="n">
        <v>0.595</v>
      </c>
      <c r="F24" s="18" t="n">
        <v>0.577</v>
      </c>
      <c r="G24" s="18" t="n">
        <v>0.01</v>
      </c>
      <c r="H24" s="18">
        <f>IF(AND(ISNUMBER(E24),ISNUMBER(F24)),F24-E24,"")</f>
        <v/>
      </c>
      <c r="I24" s="18">
        <f>IF(AND(ISNUMBER(E24),ISNUMBER(F24)),IF(ABS(F24-E24)&lt;=G24,"Reproduced",IF(ABS(F24-E24)&lt;=3*G24,"Close","Not reproduced")),"")</f>
        <v/>
      </c>
      <c r="J24" s="18" t="inlineStr">
        <is>
          <t>Repo-style CV (early stopping scored on the validation fold).</t>
        </is>
      </c>
    </row>
    <row r="25" ht="15" customHeight="1" s="12">
      <c r="A25" s="18" t="inlineStr">
        <is>
          <t>M2</t>
        </is>
      </c>
      <c r="B25" s="18" t="inlineStr">
        <is>
          <t>Research</t>
        </is>
      </c>
      <c r="C25" s="18" t="inlineStr">
        <is>
          <t>IV Models</t>
        </is>
      </c>
      <c r="D25" s="18" t="inlineStr">
        <is>
          <t>Constrained: CV R2 fold SD</t>
        </is>
      </c>
      <c r="E25" s="18" t="n">
        <v>0.03</v>
      </c>
      <c r="F25" s="18" t="n">
        <v>0.015</v>
      </c>
      <c r="G25" s="18" t="n">
        <v>0.01</v>
      </c>
      <c r="H25" s="18">
        <f>IF(AND(ISNUMBER(E25),ISNUMBER(F25)),F25-E25,"")</f>
        <v/>
      </c>
      <c r="I25" s="18">
        <f>IF(AND(ISNUMBER(E25),ISNUMBER(F25)),IF(ABS(F25-E25)&lt;=G25,"Reproduced",IF(ABS(F25-E25)&lt;=3*G25,"Close","Not reproduced")),"")</f>
        <v/>
      </c>
      <c r="J25" s="18" t="n"/>
    </row>
    <row r="26" ht="15" customHeight="1" s="12">
      <c r="A26" s="18" t="inlineStr">
        <is>
          <t>M3</t>
        </is>
      </c>
      <c r="B26" s="18" t="inlineStr">
        <is>
          <t>Research</t>
        </is>
      </c>
      <c r="C26" s="18" t="inlineStr">
        <is>
          <t>IV Models</t>
        </is>
      </c>
      <c r="D26" s="18" t="inlineStr">
        <is>
          <t>Constrained: CV RMSE</t>
        </is>
      </c>
      <c r="E26" s="18" t="n">
        <v>11.17</v>
      </c>
      <c r="F26" s="18" t="n">
        <v>11.47</v>
      </c>
      <c r="G26" s="18" t="n">
        <v>0.3</v>
      </c>
      <c r="H26" s="18">
        <f>IF(AND(ISNUMBER(E26),ISNUMBER(F26)),F26-E26,"")</f>
        <v/>
      </c>
      <c r="I26" s="18">
        <f>IF(AND(ISNUMBER(E26),ISNUMBER(F26)),IF(ABS(F26-E26)&lt;=G26,"Reproduced",IF(ABS(F26-E26)&lt;=3*G26,"Close","Not reproduced")),"")</f>
        <v/>
      </c>
      <c r="J26" s="18" t="n"/>
    </row>
    <row r="27" ht="15" customHeight="1" s="12">
      <c r="A27" s="18" t="inlineStr">
        <is>
          <t>M4</t>
        </is>
      </c>
      <c r="B27" s="18" t="inlineStr">
        <is>
          <t>Research</t>
        </is>
      </c>
      <c r="C27" s="18" t="inlineStr">
        <is>
          <t>IV Models</t>
        </is>
      </c>
      <c r="D27" s="18" t="inlineStr">
        <is>
          <t>Constrained: CV MAE</t>
        </is>
      </c>
      <c r="E27" s="18" t="n">
        <v>8.630000000000001</v>
      </c>
      <c r="F27" s="18" t="n">
        <v>8.85</v>
      </c>
      <c r="G27" s="18" t="n">
        <v>0.3</v>
      </c>
      <c r="H27" s="18">
        <f>IF(AND(ISNUMBER(E27),ISNUMBER(F27)),F27-E27,"")</f>
        <v/>
      </c>
      <c r="I27" s="18">
        <f>IF(AND(ISNUMBER(E27),ISNUMBER(F27)),IF(ABS(F27-E27)&lt;=G27,"Reproduced",IF(ABS(F27-E27)&lt;=3*G27,"Close","Not reproduced")),"")</f>
        <v/>
      </c>
      <c r="J27" s="18" t="n"/>
    </row>
    <row r="28" ht="15" customHeight="1" s="12">
      <c r="A28" s="18" t="inlineStr">
        <is>
          <t>M5</t>
        </is>
      </c>
      <c r="B28" s="18" t="inlineStr">
        <is>
          <t>Research</t>
        </is>
      </c>
      <c r="C28" s="18" t="inlineStr">
        <is>
          <t>IV Models</t>
        </is>
      </c>
      <c r="D28" s="18" t="inlineStr">
        <is>
          <t>Unconstrained XGBoost: CV R2</t>
        </is>
      </c>
      <c r="E28" s="18" t="n">
        <v>0.616</v>
      </c>
      <c r="F28" s="18" t="n">
        <v>0.607</v>
      </c>
      <c r="G28" s="18" t="n">
        <v>0.01</v>
      </c>
      <c r="H28" s="18">
        <f>IF(AND(ISNUMBER(E28),ISNUMBER(F28)),F28-E28,"")</f>
        <v/>
      </c>
      <c r="I28" s="18">
        <f>IF(AND(ISNUMBER(E28),ISNUMBER(F28)),IF(ABS(F28-E28)&lt;=G28,"Reproduced",IF(ABS(F28-E28)&lt;=3*G28,"Close","Not reproduced")),"")</f>
        <v/>
      </c>
      <c r="J28" s="18" t="n"/>
    </row>
    <row r="29" ht="15" customHeight="1" s="12">
      <c r="A29" s="18" t="inlineStr">
        <is>
          <t>M6</t>
        </is>
      </c>
      <c r="B29" s="18" t="inlineStr">
        <is>
          <t>Research</t>
        </is>
      </c>
      <c r="C29" s="18" t="inlineStr">
        <is>
          <t>IV Models</t>
        </is>
      </c>
      <c r="D29" s="18" t="inlineStr">
        <is>
          <t>Unconstrained: CV R2 fold SD</t>
        </is>
      </c>
      <c r="E29" s="18" t="n">
        <v>0.048</v>
      </c>
      <c r="F29" s="18" t="n">
        <v>0.01</v>
      </c>
      <c r="G29" s="18" t="n">
        <v>0.01</v>
      </c>
      <c r="H29" s="18">
        <f>IF(AND(ISNUMBER(E29),ISNUMBER(F29)),F29-E29,"")</f>
        <v/>
      </c>
      <c r="I29" s="18">
        <f>IF(AND(ISNUMBER(E29),ISNUMBER(F29)),IF(ABS(F29-E29)&lt;=G29,"Reproduced",IF(ABS(F29-E29)&lt;=3*G29,"Close","Not reproduced")),"")</f>
        <v/>
      </c>
      <c r="J29" s="18" t="n"/>
    </row>
    <row r="30" ht="15" customHeight="1" s="12">
      <c r="A30" s="18" t="inlineStr">
        <is>
          <t>M7</t>
        </is>
      </c>
      <c r="B30" s="18" t="inlineStr">
        <is>
          <t>Research</t>
        </is>
      </c>
      <c r="C30" s="18" t="inlineStr">
        <is>
          <t>IV Models</t>
        </is>
      </c>
      <c r="D30" s="18" t="inlineStr">
        <is>
          <t>Unconstrained: CV RMSE</t>
        </is>
      </c>
      <c r="E30" s="18" t="n">
        <v>10.86</v>
      </c>
      <c r="F30" s="18" t="n">
        <v>11.05</v>
      </c>
      <c r="G30" s="18" t="n">
        <v>0.3</v>
      </c>
      <c r="H30" s="18">
        <f>IF(AND(ISNUMBER(E30),ISNUMBER(F30)),F30-E30,"")</f>
        <v/>
      </c>
      <c r="I30" s="18">
        <f>IF(AND(ISNUMBER(E30),ISNUMBER(F30)),IF(ABS(F30-E30)&lt;=G30,"Reproduced",IF(ABS(F30-E30)&lt;=3*G30,"Close","Not reproduced")),"")</f>
        <v/>
      </c>
      <c r="J30" s="18" t="n"/>
    </row>
    <row r="31" ht="15" customHeight="1" s="12">
      <c r="A31" s="18" t="inlineStr">
        <is>
          <t>M8</t>
        </is>
      </c>
      <c r="B31" s="18" t="inlineStr">
        <is>
          <t>Research</t>
        </is>
      </c>
      <c r="C31" s="18" t="inlineStr">
        <is>
          <t>IV Models</t>
        </is>
      </c>
      <c r="D31" s="18" t="inlineStr">
        <is>
          <t>Unconstrained: CV MAE</t>
        </is>
      </c>
      <c r="E31" s="18" t="n">
        <v>8.43</v>
      </c>
      <c r="F31" s="18" t="n">
        <v>8.51</v>
      </c>
      <c r="G31" s="18" t="n">
        <v>0.3</v>
      </c>
      <c r="H31" s="18">
        <f>IF(AND(ISNUMBER(E31),ISNUMBER(F31)),F31-E31,"")</f>
        <v/>
      </c>
      <c r="I31" s="18">
        <f>IF(AND(ISNUMBER(E31),ISNUMBER(F31)),IF(ABS(F31-E31)&lt;=G31,"Reproduced",IF(ABS(F31-E31)&lt;=3*G31,"Close","Not reproduced")),"")</f>
        <v/>
      </c>
      <c r="J31" s="18" t="n"/>
    </row>
    <row r="32" ht="23.85" customHeight="1" s="12">
      <c r="A32" s="18" t="inlineStr">
        <is>
          <t>M9</t>
        </is>
      </c>
      <c r="B32" s="18" t="inlineStr">
        <is>
          <t>Research</t>
        </is>
      </c>
      <c r="C32" s="18" t="inlineStr">
        <is>
          <t>IV Models</t>
        </is>
      </c>
      <c r="D32" s="18" t="inlineStr">
        <is>
          <t>Pure aspects (no brand tier, no price): CV R2</t>
        </is>
      </c>
      <c r="E32" s="18" t="n">
        <v>0.5639999999999999</v>
      </c>
      <c r="F32" s="18" t="n">
        <v>0.544</v>
      </c>
      <c r="G32" s="18" t="n">
        <v>0.01</v>
      </c>
      <c r="H32" s="18">
        <f>IF(AND(ISNUMBER(E32),ISNUMBER(F32)),F32-E32,"")</f>
        <v/>
      </c>
      <c r="I32" s="18">
        <f>IF(AND(ISNUMBER(E32),ISNUMBER(F32)),IF(ABS(F32-E32)&lt;=G32,"Reproduced",IF(ABS(F32-E32)&lt;=3*G32,"Close","Not reproduced")),"")</f>
        <v/>
      </c>
      <c r="J32" s="18" t="inlineStr">
        <is>
          <t>Table 1's 0.564 is NOT this feature set: the comparison script keeps brand_tier (see Pipeline_Issues).</t>
        </is>
      </c>
    </row>
    <row r="33" ht="15" customHeight="1" s="12">
      <c r="A33" s="18" t="inlineStr">
        <is>
          <t>M10</t>
        </is>
      </c>
      <c r="B33" s="18" t="inlineStr">
        <is>
          <t>Research</t>
        </is>
      </c>
      <c r="C33" s="18" t="inlineStr">
        <is>
          <t>IV Models</t>
        </is>
      </c>
      <c r="D33" s="18" t="inlineStr">
        <is>
          <t>Pure aspects: CV RMSE</t>
        </is>
      </c>
      <c r="E33" s="18" t="n">
        <v>11.4</v>
      </c>
      <c r="F33" s="18" t="n">
        <v>11.9</v>
      </c>
      <c r="G33" s="18" t="n">
        <v>0.3</v>
      </c>
      <c r="H33" s="18">
        <f>IF(AND(ISNUMBER(E33),ISNUMBER(F33)),F33-E33,"")</f>
        <v/>
      </c>
      <c r="I33" s="18">
        <f>IF(AND(ISNUMBER(E33),ISNUMBER(F33)),IF(ABS(F33-E33)&lt;=G33,"Reproduced",IF(ABS(F33-E33)&lt;=3*G33,"Close","Not reproduced")),"")</f>
        <v/>
      </c>
      <c r="J33" s="18" t="n"/>
    </row>
    <row r="34" ht="15" customHeight="1" s="12">
      <c r="A34" s="18" t="inlineStr">
        <is>
          <t>M11</t>
        </is>
      </c>
      <c r="B34" s="18" t="inlineStr">
        <is>
          <t>Research</t>
        </is>
      </c>
      <c r="C34" s="18" t="inlineStr">
        <is>
          <t>IV Models</t>
        </is>
      </c>
      <c r="D34" s="18" t="inlineStr">
        <is>
          <t>Pure aspects: CV MAE</t>
        </is>
      </c>
      <c r="E34" s="18" t="n">
        <v>9</v>
      </c>
      <c r="F34" s="18" t="n">
        <v>9.289999999999999</v>
      </c>
      <c r="G34" s="18" t="n">
        <v>0.3</v>
      </c>
      <c r="H34" s="18">
        <f>IF(AND(ISNUMBER(E34),ISNUMBER(F34)),F34-E34,"")</f>
        <v/>
      </c>
      <c r="I34" s="18">
        <f>IF(AND(ISNUMBER(E34),ISNUMBER(F34)),IF(ABS(F34-E34)&lt;=G34,"Reproduced",IF(ABS(F34-E34)&lt;=3*G34,"Close","Not reproduced")),"")</f>
        <v/>
      </c>
      <c r="J34" s="18" t="n"/>
    </row>
    <row r="35" ht="23.85" customHeight="1" s="12">
      <c r="A35" s="18" t="inlineStr">
        <is>
          <t>M12</t>
        </is>
      </c>
      <c r="B35" s="18" t="inlineStr">
        <is>
          <t>Research</t>
        </is>
      </c>
      <c r="C35" s="18" t="inlineStr">
        <is>
          <t>V Table 2</t>
        </is>
      </c>
      <c r="D35" s="18" t="inlineStr">
        <is>
          <t>Cross-validation within-category R2</t>
        </is>
      </c>
      <c r="E35" s="18" t="n">
        <v>0.548</v>
      </c>
      <c r="F35" s="18" t="n">
        <v>0.451</v>
      </c>
      <c r="G35" s="18" t="n">
        <v>0.02</v>
      </c>
      <c r="H35" s="18">
        <f>IF(AND(ISNUMBER(E35),ISNUMBER(F35)),F35-E35,"")</f>
        <v/>
      </c>
      <c r="I35" s="18">
        <f>IF(AND(ISNUMBER(E35),ISNUMBER(F35)),IF(ABS(F35-E35)&lt;=G35,"Reproduced",IF(ABS(F35-E35)&lt;=3*G35,"Close","Not reproduced")),"")</f>
        <v/>
      </c>
      <c r="J35" s="18" t="inlineStr">
        <is>
          <t>Recomputed as the mean of the five per-category out-of-fold R2 of the constrained model; the paper does not define the statistic.</t>
        </is>
      </c>
    </row>
    <row r="36" ht="15" customHeight="1" s="12">
      <c r="A36" s="18" t="inlineStr">
        <is>
          <t>M13</t>
        </is>
      </c>
      <c r="B36" s="18" t="inlineStr">
        <is>
          <t>Research</t>
        </is>
      </c>
      <c r="C36" s="18" t="inlineStr">
        <is>
          <t>IV Models</t>
        </is>
      </c>
      <c r="D36" s="18" t="inlineStr">
        <is>
          <t>Convergence time of XGBoost (s)</t>
        </is>
      </c>
      <c r="E36" s="18" t="n">
        <v>0.29</v>
      </c>
      <c r="F36" s="18" t="n">
        <v>0.389</v>
      </c>
      <c r="G36" s="18" t="n">
        <v>0.2</v>
      </c>
      <c r="H36" s="18">
        <f>IF(AND(ISNUMBER(E36),ISNUMBER(F36)),F36-E36,"")</f>
        <v/>
      </c>
      <c r="I36" s="18">
        <f>IF(AND(ISNUMBER(E36),ISNUMBER(F36)),IF(ABS(F36-E36)&lt;=G36,"Reproduced",IF(ABS(F36-E36)&lt;=3*G36,"Close","Not reproduced")),"")</f>
        <v/>
      </c>
      <c r="J36" s="18" t="inlineStr">
        <is>
          <t>Hardware dependent; not a scientific claim.</t>
        </is>
      </c>
    </row>
    <row r="37" ht="15" customHeight="1" s="12">
      <c r="A37" s="18" t="inlineStr">
        <is>
          <t>A1</t>
        </is>
      </c>
      <c r="B37" s="18" t="inlineStr">
        <is>
          <t>Research</t>
        </is>
      </c>
      <c r="C37" s="18" t="inlineStr">
        <is>
          <t>IV Table 1</t>
        </is>
      </c>
      <c r="D37" s="18" t="inlineStr">
        <is>
          <t>XGBoost R2 in six-algorithm comparison</t>
        </is>
      </c>
      <c r="E37" s="18" t="n">
        <v>0.5639999999999999</v>
      </c>
      <c r="F37" s="18" t="n">
        <v>0.5620000000000001</v>
      </c>
      <c r="G37" s="18" t="n">
        <v>0.01</v>
      </c>
      <c r="H37" s="18">
        <f>IF(AND(ISNUMBER(E37),ISNUMBER(F37)),F37-E37,"")</f>
        <v/>
      </c>
      <c r="I37" s="18">
        <f>IF(AND(ISNUMBER(E37),ISNUMBER(F37)),IF(ABS(F37-E37)&lt;=G37,"Reproduced",IF(ABS(F37-E37)&lt;=3*G37,"Close","Not reproduced")),"")</f>
        <v/>
      </c>
      <c r="J37" s="18" t="inlineStr">
        <is>
          <t>Full table with all metrics on sheet Table1_Replication.</t>
        </is>
      </c>
    </row>
    <row r="38" ht="15" customHeight="1" s="12">
      <c r="A38" s="18" t="inlineStr">
        <is>
          <t>A2</t>
        </is>
      </c>
      <c r="B38" s="18" t="inlineStr">
        <is>
          <t>Research</t>
        </is>
      </c>
      <c r="C38" s="18" t="inlineStr">
        <is>
          <t>IV Table 1</t>
        </is>
      </c>
      <c r="D38" s="18" t="inlineStr">
        <is>
          <t>XGBoost AUC (top vs bottom quintile)</t>
        </is>
      </c>
      <c r="E38" s="18" t="n">
        <v>0.983</v>
      </c>
      <c r="F38" s="18" t="n">
        <v>0.988</v>
      </c>
      <c r="G38" s="18" t="n">
        <v>0.01</v>
      </c>
      <c r="H38" s="18">
        <f>IF(AND(ISNUMBER(E38),ISNUMBER(F38)),F38-E38,"")</f>
        <v/>
      </c>
      <c r="I38" s="18">
        <f>IF(AND(ISNUMBER(E38),ISNUMBER(F38)),IF(ABS(F38-E38)&lt;=G38,"Reproduced",IF(ABS(F38-E38)&lt;=3*G38,"Close","Not reproduced")),"")</f>
        <v/>
      </c>
      <c r="J38" s="18" t="inlineStr">
        <is>
          <t>AUC is on the extreme 40% of products only.</t>
        </is>
      </c>
    </row>
    <row r="39" ht="15" customHeight="1" s="12">
      <c r="A39" s="18" t="inlineStr">
        <is>
          <t>A3</t>
        </is>
      </c>
      <c r="B39" s="18" t="inlineStr">
        <is>
          <t>Research</t>
        </is>
      </c>
      <c r="C39" s="18" t="inlineStr">
        <is>
          <t>IV Table 1</t>
        </is>
      </c>
      <c r="D39" s="18" t="inlineStr">
        <is>
          <t>Ridge R2</t>
        </is>
      </c>
      <c r="E39" s="18" t="n">
        <v>0.368</v>
      </c>
      <c r="F39" s="18" t="n">
        <v>0.465</v>
      </c>
      <c r="G39" s="18" t="n">
        <v>0.01</v>
      </c>
      <c r="H39" s="18">
        <f>IF(AND(ISNUMBER(E39),ISNUMBER(F39)),F39-E39,"")</f>
        <v/>
      </c>
      <c r="I39" s="18">
        <f>IF(AND(ISNUMBER(E39),ISNUMBER(F39)),IF(ABS(F39-E39)&lt;=G39,"Reproduced",IF(ABS(F39-E39)&lt;=3*G39,"Close","Not reproduced")),"")</f>
        <v/>
      </c>
      <c r="J39" s="18" t="inlineStr">
        <is>
          <t>Largest gap in Table 1.</t>
        </is>
      </c>
    </row>
    <row r="40" ht="23.85" customHeight="1" s="12">
      <c r="A40" s="18" t="inlineStr">
        <is>
          <t>A4</t>
        </is>
      </c>
      <c r="B40" s="18" t="inlineStr">
        <is>
          <t>Research</t>
        </is>
      </c>
      <c r="C40" s="18" t="inlineStr">
        <is>
          <t>IV Table 1</t>
        </is>
      </c>
      <c r="D40" s="18" t="inlineStr">
        <is>
          <t>Random Forest accuracy (claim: every tree ensemble clears 90%)</t>
        </is>
      </c>
      <c r="E40" s="18" t="n">
        <v>0.92</v>
      </c>
      <c r="F40" s="18" t="n">
        <v>0.896</v>
      </c>
      <c r="G40" s="18" t="n">
        <v>0.01</v>
      </c>
      <c r="H40" s="18">
        <f>IF(AND(ISNUMBER(E40),ISNUMBER(F40)),F40-E40,"")</f>
        <v/>
      </c>
      <c r="I40" s="18">
        <f>IF(AND(ISNUMBER(E40),ISNUMBER(F40)),IF(ABS(F40-E40)&lt;=G40,"Reproduced",IF(ABS(F40-E40)&lt;=3*G40,"Close","Not reproduced")),"")</f>
        <v/>
      </c>
      <c r="J40" s="18" t="inlineStr">
        <is>
          <t>My Random Forest falls below 90%.</t>
        </is>
      </c>
    </row>
    <row r="41" ht="15" customHeight="1" s="12">
      <c r="A41" s="18" t="inlineStr">
        <is>
          <t>A5</t>
        </is>
      </c>
      <c r="B41" s="18" t="inlineStr">
        <is>
          <t>Research</t>
        </is>
      </c>
      <c r="C41" s="18" t="inlineStr">
        <is>
          <t>IV Table 1</t>
        </is>
      </c>
      <c r="D41" s="18" t="inlineStr">
        <is>
          <t>Gradient Boosting training time / XGBoost training time</t>
        </is>
      </c>
      <c r="E41" s="18" t="n">
        <v>8</v>
      </c>
      <c r="F41" s="18" t="n">
        <v>4.2</v>
      </c>
      <c r="G41" s="18" t="n">
        <v>2</v>
      </c>
      <c r="H41" s="18">
        <f>IF(AND(ISNUMBER(E41),ISNUMBER(F41)),F41-E41,"")</f>
        <v/>
      </c>
      <c r="I41" s="18">
        <f>IF(AND(ISNUMBER(E41),ISNUMBER(F41)),IF(ABS(F41-E41)&lt;=G41,"Reproduced",IF(ABS(F41-E41)&lt;=3*G41,"Close","Not reproduced")),"")</f>
        <v/>
      </c>
      <c r="J41" s="18" t="inlineStr">
        <is>
          <t>Hardware dependent.</t>
        </is>
      </c>
    </row>
    <row r="42" ht="15" customHeight="1" s="12">
      <c r="A42" s="18" t="inlineStr">
        <is>
          <t>E1</t>
        </is>
      </c>
      <c r="B42" s="18" t="inlineStr">
        <is>
          <t>Research</t>
        </is>
      </c>
      <c r="C42" s="18" t="inlineStr">
        <is>
          <t>VI Boundary</t>
        </is>
      </c>
      <c r="D42" s="18" t="inlineStr">
        <is>
          <t>Ice makers: mean |r| between review aspects and success</t>
        </is>
      </c>
      <c r="E42" s="18" t="n">
        <v>0.32</v>
      </c>
      <c r="F42" s="18" t="n">
        <v>0.322</v>
      </c>
      <c r="G42" s="18" t="n">
        <v>0.01</v>
      </c>
      <c r="H42" s="18">
        <f>IF(AND(ISNUMBER(E42),ISNUMBER(F42)),F42-E42,"")</f>
        <v/>
      </c>
      <c r="I42" s="18">
        <f>IF(AND(ISNUMBER(E42),ISNUMBER(F42)),IF(ABS(F42-E42)&lt;=G42,"Reproduced",IF(ABS(F42-E42)&lt;=3*G42,"Close","Not reproduced")),"")</f>
        <v/>
      </c>
      <c r="J42" s="18" t="inlineStr">
        <is>
          <t>Reproduced.</t>
        </is>
      </c>
    </row>
    <row r="43" ht="15" customHeight="1" s="12">
      <c r="A43" s="18" t="inlineStr">
        <is>
          <t>E2</t>
        </is>
      </c>
      <c r="B43" s="18" t="inlineStr">
        <is>
          <t>Research</t>
        </is>
      </c>
      <c r="C43" s="18" t="inlineStr">
        <is>
          <t>VI Boundary</t>
        </is>
      </c>
      <c r="D43" s="18" t="inlineStr">
        <is>
          <t>Other categories: lowest mean |r|</t>
        </is>
      </c>
      <c r="E43" s="18" t="n">
        <v>0.09</v>
      </c>
      <c r="F43" s="18" t="n">
        <v>0.08699999999999999</v>
      </c>
      <c r="G43" s="18" t="n">
        <v>0.01</v>
      </c>
      <c r="H43" s="18">
        <f>IF(AND(ISNUMBER(E43),ISNUMBER(F43)),F43-E43,"")</f>
        <v/>
      </c>
      <c r="I43" s="18">
        <f>IF(AND(ISNUMBER(E43),ISNUMBER(F43)),IF(ABS(F43-E43)&lt;=G43,"Reproduced",IF(ABS(F43-E43)&lt;=3*G43,"Close","Not reproduced")),"")</f>
        <v/>
      </c>
      <c r="J43" s="18" t="n"/>
    </row>
    <row r="44" ht="15" customHeight="1" s="12">
      <c r="A44" s="18" t="inlineStr">
        <is>
          <t>E3</t>
        </is>
      </c>
      <c r="B44" s="18" t="inlineStr">
        <is>
          <t>Research</t>
        </is>
      </c>
      <c r="C44" s="18" t="inlineStr">
        <is>
          <t>VI Boundary</t>
        </is>
      </c>
      <c r="D44" s="18" t="inlineStr">
        <is>
          <t>Other categories: highest mean |r|</t>
        </is>
      </c>
      <c r="E44" s="18" t="n">
        <v>0.24</v>
      </c>
      <c r="F44" s="18" t="n">
        <v>0.249</v>
      </c>
      <c r="G44" s="18" t="n">
        <v>0.01</v>
      </c>
      <c r="H44" s="18">
        <f>IF(AND(ISNUMBER(E44),ISNUMBER(F44)),F44-E44,"")</f>
        <v/>
      </c>
      <c r="I44" s="18">
        <f>IF(AND(ISNUMBER(E44),ISNUMBER(F44)),IF(ABS(F44-E44)&lt;=G44,"Reproduced",IF(ABS(F44-E44)&lt;=3*G44,"Close","Not reproduced")),"")</f>
        <v/>
      </c>
      <c r="J44" s="18" t="n"/>
    </row>
    <row r="45" ht="35.05" customHeight="1" s="12">
      <c r="A45" s="18" t="inlineStr">
        <is>
          <t>P1</t>
        </is>
      </c>
      <c r="B45" s="18" t="inlineStr">
        <is>
          <t>Research</t>
        </is>
      </c>
      <c r="C45" s="18" t="inlineStr">
        <is>
          <t>V-C Baselines</t>
        </is>
      </c>
      <c r="D45" s="18" t="inlineStr">
        <is>
          <t>Within-category price-percentile baseline rho vs success (n=118 holdout)</t>
        </is>
      </c>
      <c r="E45" s="18" t="n">
        <v>0.386</v>
      </c>
      <c r="F45" s="18" t="n">
        <v>0.147</v>
      </c>
      <c r="G45" s="18" t="n">
        <v>0.05</v>
      </c>
      <c r="H45" s="18">
        <f>IF(AND(ISNUMBER(E45),ISNUMBER(F45)),F45-E45,"")</f>
        <v/>
      </c>
      <c r="I45" s="18">
        <f>IF(AND(ISNUMBER(E45),ISNUMBER(F45)),IF(ABS(F45-E45)&lt;=G45,"Reproduced",IF(ABS(F45-E45)&lt;=3*G45,"Close","Not reproduced")),"")</f>
        <v/>
      </c>
      <c r="J45" s="18" t="inlineStr">
        <is>
          <t>Mean over 40 category-stratified random draws of 117 products; 95% range 0.023 to 0.271. On all 631 products rho = 0.147. 0.386 lies far outside the range of random holdouts.</t>
        </is>
      </c>
    </row>
    <row r="46" ht="15" customHeight="1" s="12">
      <c r="A46" s="18" t="inlineStr">
        <is>
          <t>P2</t>
        </is>
      </c>
      <c r="B46" s="18" t="inlineStr">
        <is>
          <t>Research</t>
        </is>
      </c>
      <c r="C46" s="18" t="inlineStr">
        <is>
          <t>V-C Baselines</t>
        </is>
      </c>
      <c r="D46" s="18" t="inlineStr">
        <is>
          <t>p-value for rho=0.317, n=59</t>
        </is>
      </c>
      <c r="E46" s="18" t="n">
        <v>0.014</v>
      </c>
      <c r="F46" s="18" t="n">
        <v>0.0144</v>
      </c>
      <c r="G46" s="18" t="n">
        <v>0.001</v>
      </c>
      <c r="H46" s="18">
        <f>IF(AND(ISNUMBER(E46),ISNUMBER(F46)),F46-E46,"")</f>
        <v/>
      </c>
      <c r="I46" s="18">
        <f>IF(AND(ISNUMBER(E46),ISNUMBER(F46)),IF(ABS(F46-E46)&lt;=G46,"Reproduced",IF(ABS(F46-E46)&lt;=3*G46,"Close","Not reproduced")),"")</f>
        <v/>
      </c>
      <c r="J46" s="18" t="inlineStr">
        <is>
          <t>Analytic t-test.</t>
        </is>
      </c>
    </row>
    <row r="47" ht="15" customHeight="1" s="12">
      <c r="A47" s="18" t="inlineStr">
        <is>
          <t>P3</t>
        </is>
      </c>
      <c r="B47" s="18" t="inlineStr">
        <is>
          <t>Research</t>
        </is>
      </c>
      <c r="C47" s="18" t="inlineStr">
        <is>
          <t>V-B Temporal</t>
        </is>
      </c>
      <c r="D47" s="18" t="inlineStr">
        <is>
          <t>p-value for rho=0.545, n=66</t>
        </is>
      </c>
      <c r="E47" s="19" t="n">
        <v>1.2e-05</v>
      </c>
      <c r="F47" s="19" t="n">
        <v>2.23061267148598e-06</v>
      </c>
      <c r="G47" s="19" t="n">
        <v>1e-06</v>
      </c>
      <c r="H47" s="19">
        <f>IF(AND(ISNUMBER(E47),ISNUMBER(F47)),F47-E47,"")</f>
        <v/>
      </c>
      <c r="I47" s="18">
        <f>IF(AND(ISNUMBER(E47),ISNUMBER(F47)),IF(ABS(F47-E47)&lt;=G47,"Reproduced",IF(ABS(F47-E47)&lt;=3*G47,"Close","Not reproduced")),"")</f>
        <v/>
      </c>
      <c r="J47" s="18" t="inlineStr">
        <is>
          <t>Analytic t-test gives about 2.2e-6.</t>
        </is>
      </c>
    </row>
    <row r="48" ht="15" customHeight="1" s="12">
      <c r="A48" s="18" t="inlineStr">
        <is>
          <t>P4</t>
        </is>
      </c>
      <c r="B48" s="18" t="inlineStr">
        <is>
          <t>Research</t>
        </is>
      </c>
      <c r="C48" s="18" t="inlineStr">
        <is>
          <t>V Holdout</t>
        </is>
      </c>
      <c r="D48" s="18" t="inlineStr">
        <is>
          <t>p-value for rho=0.529, n=118</t>
        </is>
      </c>
      <c r="E48" s="19" t="n">
        <v>7.6e-07</v>
      </c>
      <c r="F48" s="19" t="n">
        <v>7.36469648105183e-10</v>
      </c>
      <c r="G48" s="19" t="n">
        <v>1e-08</v>
      </c>
      <c r="H48" s="19">
        <f>IF(AND(ISNUMBER(E48),ISNUMBER(F48)),F48-E48,"")</f>
        <v/>
      </c>
      <c r="I48" s="18">
        <f>IF(AND(ISNUMBER(E48),ISNUMBER(F48)),IF(ABS(F48-E48)&lt;=G48,"Reproduced",IF(ABS(F48-E48)&lt;=3*G48,"Close","Not reproduced")),"")</f>
        <v/>
      </c>
      <c r="J48" s="18" t="inlineStr">
        <is>
          <t>Analytic t-test gives about 7.4e-10 (8.7e-10 at n=117).</t>
        </is>
      </c>
    </row>
    <row r="49" ht="23.85" customHeight="1" s="12">
      <c r="A49" s="20" t="inlineStr">
        <is>
          <t>X1</t>
        </is>
      </c>
      <c r="B49" s="20" t="inlineStr">
        <is>
          <t>Research</t>
        </is>
      </c>
      <c r="C49" s="20" t="inlineStr">
        <is>
          <t>V Holdout</t>
        </is>
      </c>
      <c r="D49" s="20" t="inlineStr">
        <is>
          <t>Frozen holdout n=59: Spearman rho 0.317, CI [0.059, 0.543]; AUC 0.743 [0.507, 0.931]; within-category 0.28</t>
        </is>
      </c>
      <c r="E49" s="20" t="n">
        <v>0.317</v>
      </c>
      <c r="F49" s="20" t="n">
        <v>0.317</v>
      </c>
      <c r="G49" s="20" t="n">
        <v>0.01</v>
      </c>
      <c r="H49" s="20">
        <f>F49-E49</f>
        <v/>
      </c>
      <c r="I49" s="21">
        <f>IF(AND(ISNUMBER(E49),ISNUMBER(F49)),IF(ABS(F49-E49)&lt;=G49,"Reproduced",IF(ABS(F49-E49)&lt;=3*G49,"Close","Not reproduced")),"")</f>
        <v/>
      </c>
      <c r="J49" s="20" t="inlineStr">
        <is>
          <t>Reproduced on original n=59 pre-ice run (rho=0.317 [0.059, 0.543], AUC=0.743 [0.513, 0.924], within-cat mean rho=0.281). However, that historical run included test products in the training fold. On current 631 corpus, 18 kitchen appliances were dropped; on the remaining 41 products, rho=0.280 (p=0.076, not significant), AUC=0.764.</t>
        </is>
      </c>
    </row>
    <row r="50" ht="23.85" customHeight="1" s="12">
      <c r="A50" s="20" t="inlineStr">
        <is>
          <t>X2</t>
        </is>
      </c>
      <c r="B50" s="20" t="inlineStr">
        <is>
          <t>Research</t>
        </is>
      </c>
      <c r="C50" s="20" t="inlineStr">
        <is>
          <t>V Holdout</t>
        </is>
      </c>
      <c r="D50" s="20" t="inlineStr">
        <is>
          <t>Quintile means 58.51 -&gt; 60.83 -&gt; 61.69 -&gt; 62.76 -&gt; 64.06</t>
        </is>
      </c>
      <c r="E50" s="20" t="n">
        <v>64.06</v>
      </c>
      <c r="F50" s="20" t="n">
        <v>64.06</v>
      </c>
      <c r="G50" s="20" t="n">
        <v>0.1</v>
      </c>
      <c r="H50" s="20">
        <f>F50-E50</f>
        <v/>
      </c>
      <c r="I50" s="21">
        <f>IF(AND(ISNUMBER(E50),ISNUMBER(F50)),IF(ABS(F50-E50)&lt;=G50,"Reproduced",IF(ABS(F50-E50)&lt;=3*G50,"Close","Not reproduced")),"")</f>
        <v/>
      </c>
      <c r="J50" s="20" t="inlineStr">
        <is>
          <t>Reproduced exactly: viability tier means across success quintiles are strictly monotonic: 58.51 -&gt; 60.83 -&gt; 61.69 -&gt; 62.76 -&gt; 64.06.</t>
        </is>
      </c>
    </row>
    <row r="51" ht="23.85" customHeight="1" s="12">
      <c r="A51" s="20" t="inlineStr">
        <is>
          <t>X3</t>
        </is>
      </c>
      <c r="B51" s="20" t="inlineStr">
        <is>
          <t>Research</t>
        </is>
      </c>
      <c r="C51" s="20" t="inlineStr">
        <is>
          <t>V Holdout</t>
        </is>
      </c>
      <c r="D51" s="20" t="inlineStr">
        <is>
          <t>Retrained holdout n=118: rho 0.529 [0.377, 0.654], AUC 0.903 [0.812, 0.965], within-category 0.39</t>
        </is>
      </c>
      <c r="E51" s="20" t="n">
        <v>0.529</v>
      </c>
      <c r="F51" s="20" t="n">
        <v>0.529</v>
      </c>
      <c r="G51" s="20" t="n">
        <v>0.01</v>
      </c>
      <c r="H51" s="20">
        <f>F51-E51</f>
        <v/>
      </c>
      <c r="I51" s="21">
        <f>IF(AND(ISNUMBER(E51),ISNUMBER(F51)),IF(ABS(F51-E51)&lt;=G51,"Reproduced",IF(ABS(F51-E51)&lt;=3*G51,"Close","Not reproduced")),"")</f>
        <v/>
      </c>
      <c r="J51" s="20" t="inlineStr">
        <is>
          <t>Reproduced from prompt v2 cached bridging (fresh_holdout_5cat.json: n=117/118, rho=0.529 [0.377, 0.654], AUC=0.903 [0.812, 0.965], within-cat mean rho=0.39). Plausible against true-aspect oracle ceiling (rho=0.774, AUC=0.981). Note: reported p-value (7.6e-7) was understated vs analytic t-test (7.4e-10, row P4).</t>
        </is>
      </c>
    </row>
    <row r="52" ht="35.05" customHeight="1" s="12">
      <c r="A52" s="20" t="inlineStr">
        <is>
          <t>X4</t>
        </is>
      </c>
      <c r="B52" s="20" t="inlineStr">
        <is>
          <t>Research</t>
        </is>
      </c>
      <c r="C52" s="20" t="inlineStr">
        <is>
          <t>V-B Temporal</t>
        </is>
      </c>
      <c r="D52" s="20" t="inlineStr">
        <is>
          <t>Initial temporal n=66: rho 0.545 [0.352, 0.694], AUC 0.901 [0.784, 0.985]</t>
        </is>
      </c>
      <c r="E52" s="20" t="n">
        <v>0.545</v>
      </c>
      <c r="F52" s="20" t="n">
        <v>0.466</v>
      </c>
      <c r="G52" s="20" t="n">
        <v>0.01</v>
      </c>
      <c r="H52" s="20">
        <f>F52-E52</f>
        <v/>
      </c>
      <c r="I52" s="21">
        <f>IF(AND(ISNUMBER(E52),ISNUMBER(F52)),IF(ABS(F52-E52)&lt;=G52,"Reproduced",IF(ABS(F52-E52)&lt;=3*G52,"Close","Not reproduced")),"")</f>
        <v/>
      </c>
      <c r="J52" s="20" t="inlineStr">
        <is>
          <t>Not reproduced: The n=66 mature cohort cannot be rebuilt (actual post-cutoff mature count is 51, not 66; post-cutoff fraud=6 not 9, immature=73 not 55; rows T3-T5). On actual mature post-cutoff cohort (n=51), the TRUE review-aspect oracle ceiling is only rho=0.466, AUC=0.810; the paper's claimed spec-bridged result (rho=0.545, AUC=0.901) exceeds the true-aspect ceiling.</t>
        </is>
      </c>
    </row>
    <row r="53" ht="23.85" customHeight="1" s="12">
      <c r="A53" s="20" t="inlineStr">
        <is>
          <t>X5</t>
        </is>
      </c>
      <c r="B53" s="20" t="inlineStr">
        <is>
          <t>Research</t>
        </is>
      </c>
      <c r="C53" s="20" t="inlineStr">
        <is>
          <t>V-B Temporal</t>
        </is>
      </c>
      <c r="D53" s="20" t="inlineStr">
        <is>
          <t>Extended temporal n=125: rho 0.590 [0.464, 0.692], AUC 0.942, within-category about 0.16</t>
        </is>
      </c>
      <c r="E53" s="20" t="n">
        <v>0.59</v>
      </c>
      <c r="F53" s="20" t="n">
        <v>0.59</v>
      </c>
      <c r="G53" s="20" t="n">
        <v>0.01</v>
      </c>
      <c r="H53" s="20">
        <f>F53-E53</f>
        <v/>
      </c>
      <c r="I53" s="21">
        <f>IF(AND(ISNUMBER(E53),ISNUMBER(F53)),IF(ABS(F53-E53)&lt;=G53,"Reproduced",IF(ABS(F53-E53)&lt;=3*G53,"Close","Not reproduced")),"")</f>
        <v/>
      </c>
      <c r="J53" s="20" t="inlineStr">
        <is>
          <t>Reproduced from 80/20 quantile split (temporal_holdout_rigorous.json: n=125 evaluated, rho=0.590 [0.464, 0.692], AUC=0.942). However, high pooled rho is driven by between-category separation; forward skill within categories collapses to mean rho ~0.16 (power banks -0.03, ice makers -0.03, headphones 0.31, smartwatches 0.41). True-aspect ceiling: rho=0.749.</t>
        </is>
      </c>
    </row>
    <row r="54" ht="23.85" customHeight="1" s="12">
      <c r="A54" s="20" t="inlineStr">
        <is>
          <t>X6</t>
        </is>
      </c>
      <c r="B54" s="20" t="inlineStr">
        <is>
          <t>Research</t>
        </is>
      </c>
      <c r="C54" s="20" t="inlineStr">
        <is>
          <t>IV Models</t>
        </is>
      </c>
      <c r="D54" s="20" t="inlineStr">
        <is>
          <t>Monotone constraints raised holdout AUC 0.826 -&gt; 0.903 and temporal AUC 0.925 -&gt; 0.942</t>
        </is>
      </c>
      <c r="E54" s="20" t="n">
        <v>0.077</v>
      </c>
      <c r="F54" s="20" t="n">
        <v>-0.167</v>
      </c>
      <c r="G54" s="20" t="n">
        <v>0.02</v>
      </c>
      <c r="H54" s="20">
        <f>F54-E54</f>
        <v/>
      </c>
      <c r="I54" s="21">
        <f>IF(AND(ISNUMBER(E54),ISNUMBER(F54)),IF(ABS(F54-E54)&lt;=G54,"Reproduced",IF(ABS(F54-E54)&lt;=3*G54,"Close","Not reproduced")),"")</f>
        <v/>
      </c>
      <c r="J54" s="20" t="inlineStr">
        <is>
          <t>Not reproduced: Spurious cross-cohort comparison. In an apples-to-apples ablation on the holdout partition, monotone constraints actually reduced holdout AUC from 0.917 (unconstrained) to 0.750 (constrained). The paper's claimed gain (0.826 -&gt; 0.903) compared the n=90 development set (0.826) against the n=118 deployment cohort (0.903).</t>
        </is>
      </c>
    </row>
    <row r="55" ht="23.85" customHeight="1" s="12">
      <c r="A55" s="20" t="inlineStr">
        <is>
          <t>X7</t>
        </is>
      </c>
      <c r="B55" s="20" t="inlineStr">
        <is>
          <t>Research</t>
        </is>
      </c>
      <c r="C55" s="20" t="inlineStr">
        <is>
          <t>V-C Baselines</t>
        </is>
      </c>
      <c r="D55" s="20" t="inlineStr">
        <is>
          <t>Price-free ablation rho 0.475 and r=0.147 between its prediction and price percentile</t>
        </is>
      </c>
      <c r="E55" s="20" t="n">
        <v>0.147</v>
      </c>
      <c r="F55" s="20" t="n">
        <v>0.147</v>
      </c>
      <c r="G55" s="20" t="n">
        <v>0.02</v>
      </c>
      <c r="H55" s="20">
        <f>F55-E55</f>
        <v/>
      </c>
      <c r="I55" s="21" t="inlineStr">
        <is>
          <t>Not reproduced</t>
        </is>
      </c>
      <c r="J55" s="20" t="inlineStr">
        <is>
          <t>Not reproduced / Target conflation: 0.147 is the exact Spearman correlation between within-category price percentile and success on all 631 products (and across holdout splits; row P1), not the correlation between the price-free prediction and price percentile.</t>
        </is>
      </c>
    </row>
    <row r="56" ht="35.05" customHeight="1" s="12">
      <c r="A56" s="20" t="inlineStr">
        <is>
          <t>X8</t>
        </is>
      </c>
      <c r="B56" s="20" t="inlineStr">
        <is>
          <t>Research</t>
        </is>
      </c>
      <c r="C56" s="20" t="inlineStr">
        <is>
          <t>V-D Aspects</t>
        </is>
      </c>
      <c r="D56" s="20" t="inlineStr">
        <is>
          <t>Bridging fidelity r: utility/durability 0.53, ease 0.52, build 0.51, reliability 0.50, value 0.34, repairability 0.27, design 0.21, after-sales 0.07</t>
        </is>
      </c>
      <c r="E56" s="20" t="n">
        <v>0.387</v>
      </c>
      <c r="F56" s="20" t="n">
        <v>0.386</v>
      </c>
      <c r="G56" s="20" t="n">
        <v>0.01</v>
      </c>
      <c r="H56" s="20">
        <f>F56-E56</f>
        <v/>
      </c>
      <c r="I56" s="21">
        <f>IF(AND(ISNUMBER(E56),ISNUMBER(F56)),IF(ABS(F56-E56)&lt;=G56,"Reproduced",IF(ABS(F56-E56)&lt;=3*G56,"Close","Not reproduced")),"")</f>
        <v/>
      </c>
      <c r="J56" s="20" t="inlineStr">
        <is>
          <t>Reproduced across 118 paired products. Per aspect (recomputed vs paper): utility 0.527 vs 0.53, durability 0.528 vs 0.53, ease 0.516 vs 0.52, build 0.512 vs 0.51, reliability 0.496 vs 0.50, value 0.336 vs 0.34, repairability 0.270 vs 0.27, design 0.210 vs 0.21, after-sales 0.073 vs 0.07. All 9 match within +-0.004.</t>
        </is>
      </c>
    </row>
    <row r="57" ht="23.85" customHeight="1" s="12">
      <c r="A57" s="20" t="inlineStr">
        <is>
          <t>X9</t>
        </is>
      </c>
      <c r="B57" s="20" t="inlineStr">
        <is>
          <t>Research</t>
        </is>
      </c>
      <c r="C57" s="20" t="inlineStr">
        <is>
          <t>VI Boundary</t>
        </is>
      </c>
      <c r="D57" s="20" t="inlineStr">
        <is>
          <t>Ice makers: bridged SD 0.08 / 0.13, fidelity r 0.04, holdout rho 0.11; power banks rho 0.43 -&gt; 0</t>
        </is>
      </c>
      <c r="E57" s="20" t="n">
        <v>0.08</v>
      </c>
      <c r="F57" s="20" t="n">
        <v>0.095</v>
      </c>
      <c r="G57" s="20" t="n">
        <v>0.02</v>
      </c>
      <c r="H57" s="20">
        <f>F57-E57</f>
        <v/>
      </c>
      <c r="I57" s="21">
        <f>IF(AND(ISNUMBER(E57),ISNUMBER(F57)),IF(ABS(F57-E57)&lt;=G57,"Reproduced",IF(ABS(F57-E57)&lt;=3*G57,"Close","Not reproduced")),"")</f>
        <v/>
      </c>
      <c r="J57" s="20" t="inlineStr">
        <is>
          <t>Reproduced: Flat commodity specifications yield nearly uniform bridged scores (SD: reliability 0.095 [~0.08], build 0.111, durability 0.127 [~0.13]), suppressing fidelity (utility r=0.027, durability r=0.081). Power banks forward rho collapses from 0.43 (random split) to -0.03 forward in time.</t>
        </is>
      </c>
    </row>
    <row r="58" ht="23.85" customHeight="1" s="12">
      <c r="A58" s="20" t="inlineStr">
        <is>
          <t>X10</t>
        </is>
      </c>
      <c r="B58" s="20" t="inlineStr">
        <is>
          <t>Research</t>
        </is>
      </c>
      <c r="C58" s="20" t="inlineStr">
        <is>
          <t>VIII Limits</t>
        </is>
      </c>
      <c r="D58" s="20" t="inlineStr">
        <is>
          <t>Reddit priorities A/B delta rho +0.049, CI [-0.025, 0.125] (corrected draft)</t>
        </is>
      </c>
      <c r="E58" s="20" t="n">
        <v>0.049</v>
      </c>
      <c r="F58" s="20" t="n">
        <v>0.049</v>
      </c>
      <c r="G58" s="20" t="n">
        <v>0.01</v>
      </c>
      <c r="H58" s="20">
        <f>F58-E58</f>
        <v/>
      </c>
      <c r="I58" s="21">
        <f>IF(AND(ISNUMBER(E58),ISNUMBER(F58)),IF(ABS(F58-E58)&lt;=G58,"Reproduced",IF(ABS(F58-E58)&lt;=3*G58,"Close","Not reproduced")),"")</f>
        <v/>
      </c>
      <c r="J58" s="20" t="inlineStr">
        <is>
          <t>Reproduced: with priorities rho=0.359, without rho=0.311, delta rho = +0.049 (ab_reddit_priorities.json: +0.048). 10,000 paired bootstrap 95% CI [-0.024, 0.127] spans zero, confirming the Reddit lift is not statistically significant.</t>
        </is>
      </c>
    </row>
    <row r="59" ht="23.85" customHeight="1" s="12">
      <c r="A59" s="20" t="inlineStr">
        <is>
          <t>X11</t>
        </is>
      </c>
      <c r="B59" s="20" t="inlineStr">
        <is>
          <t>Both</t>
        </is>
      </c>
      <c r="C59" s="20" t="inlineStr">
        <is>
          <t>Abstract / Intro</t>
        </is>
      </c>
      <c r="D59" s="20" t="inlineStr">
        <is>
          <t>10,000-sample bootstrap CIs</t>
        </is>
      </c>
      <c r="E59" s="20" t="n">
        <v>10000</v>
      </c>
      <c r="F59" s="20" t="n">
        <v>10000</v>
      </c>
      <c r="G59" s="20" t="n">
        <v>0</v>
      </c>
      <c r="H59" s="20">
        <f>F59-E59</f>
        <v/>
      </c>
      <c r="I59" s="21">
        <f>IF(AND(ISNUMBER(E59),ISNUMBER(F59)),IF(ABS(F59-E59)&lt;=G59,"Reproduced",IF(ABS(F59-E59)&lt;=3*G59,"Close","Not reproduced")),"")</f>
        <v/>
      </c>
      <c r="J59" s="20" t="inlineStr">
        <is>
          <t>Reproduced: scripts/headline_cis.py sets N_BOOT = 10_000 (reproduces holdout rho CI [0.059, 0.543], AUC CI [0.507, 0.931], Reddit delta CI [-0.024, 0.127]).</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E69"/>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44" customWidth="1" style="11" min="1" max="1"/>
    <col width="14" customWidth="1" style="11" min="2" max="2"/>
    <col width="10" customWidth="1" style="11" min="3" max="3"/>
    <col width="32" customWidth="1" style="11" min="4" max="4"/>
    <col width="12" customWidth="1" style="11" min="5" max="5"/>
  </cols>
  <sheetData>
    <row r="1" ht="15" customHeight="1" s="12">
      <c r="A1" s="17" t="inlineStr">
        <is>
          <t>Algorithm</t>
        </is>
      </c>
      <c r="B1" s="17" t="inlineStr">
        <is>
          <t>Metric</t>
        </is>
      </c>
      <c r="C1" s="17" t="inlineStr">
        <is>
          <t>Paper</t>
        </is>
      </c>
      <c r="D1" s="17" t="inlineStr">
        <is>
          <t>Recomputed (repo script as written)</t>
        </is>
      </c>
      <c r="E1" s="17" t="inlineStr">
        <is>
          <t>Difference</t>
        </is>
      </c>
    </row>
    <row r="2" ht="15" customHeight="1" s="12">
      <c r="A2" s="22" t="inlineStr">
        <is>
          <t>XGBoost</t>
        </is>
      </c>
      <c r="B2" s="22" t="inlineStr">
        <is>
          <t>R2</t>
        </is>
      </c>
      <c r="C2" s="22" t="n">
        <v>0.5639999999999999</v>
      </c>
      <c r="D2" s="22" t="n">
        <v>0.5625</v>
      </c>
      <c r="E2" s="22">
        <f>D2-C2</f>
        <v/>
      </c>
    </row>
    <row r="3" ht="15" customHeight="1" s="12">
      <c r="A3" s="22" t="inlineStr">
        <is>
          <t>XGBoost</t>
        </is>
      </c>
      <c r="B3" s="22" t="inlineStr">
        <is>
          <t>RMSE</t>
        </is>
      </c>
      <c r="C3" s="22" t="n">
        <v>11.4</v>
      </c>
      <c r="D3" s="22" t="n">
        <v>11.6585</v>
      </c>
      <c r="E3" s="22">
        <f>D3-C3</f>
        <v/>
      </c>
    </row>
    <row r="4" ht="15" customHeight="1" s="12">
      <c r="A4" s="22" t="inlineStr">
        <is>
          <t>XGBoost</t>
        </is>
      </c>
      <c r="B4" s="22" t="inlineStr">
        <is>
          <t>Accuracy</t>
        </is>
      </c>
      <c r="C4" s="22" t="n">
        <v>0.917</v>
      </c>
      <c r="D4" s="22" t="n">
        <v>0.95</v>
      </c>
      <c r="E4" s="22">
        <f>D4-C4</f>
        <v/>
      </c>
    </row>
    <row r="5" ht="15" customHeight="1" s="12">
      <c r="A5" s="22" t="inlineStr">
        <is>
          <t>XGBoost</t>
        </is>
      </c>
      <c r="B5" s="22" t="inlineStr">
        <is>
          <t>Precision</t>
        </is>
      </c>
      <c r="C5" s="22" t="n">
        <v>0.914</v>
      </c>
      <c r="D5" s="22" t="n">
        <v>0.928</v>
      </c>
      <c r="E5" s="22">
        <f>D5-C5</f>
        <v/>
      </c>
    </row>
    <row r="6" ht="15" customHeight="1" s="12">
      <c r="A6" s="22" t="inlineStr">
        <is>
          <t>XGBoost</t>
        </is>
      </c>
      <c r="B6" s="22" t="inlineStr">
        <is>
          <t>Recall</t>
        </is>
      </c>
      <c r="C6" s="22" t="n">
        <v>0.927</v>
      </c>
      <c r="D6" s="22" t="n">
        <v>0.9769</v>
      </c>
      <c r="E6" s="22">
        <f>D6-C6</f>
        <v/>
      </c>
    </row>
    <row r="7" ht="15" customHeight="1" s="12">
      <c r="A7" s="22" t="inlineStr">
        <is>
          <t>XGBoost</t>
        </is>
      </c>
      <c r="B7" s="22" t="inlineStr">
        <is>
          <t>Specificity</t>
        </is>
      </c>
      <c r="C7" s="22" t="n">
        <v>0.907</v>
      </c>
      <c r="D7" s="22" t="n">
        <v>0.9231</v>
      </c>
      <c r="E7" s="22">
        <f>D7-C7</f>
        <v/>
      </c>
    </row>
    <row r="8" ht="15" customHeight="1" s="12">
      <c r="A8" s="22" t="inlineStr">
        <is>
          <t>XGBoost</t>
        </is>
      </c>
      <c r="B8" s="22" t="inlineStr">
        <is>
          <t>F1</t>
        </is>
      </c>
      <c r="C8" s="22" t="n">
        <v>0.917</v>
      </c>
      <c r="D8" s="22" t="n">
        <v>0.9515</v>
      </c>
      <c r="E8" s="22">
        <f>D8-C8</f>
        <v/>
      </c>
    </row>
    <row r="9" ht="15" customHeight="1" s="12">
      <c r="A9" s="22" t="inlineStr">
        <is>
          <t>XGBoost</t>
        </is>
      </c>
      <c r="B9" s="22" t="inlineStr">
        <is>
          <t>AUC</t>
        </is>
      </c>
      <c r="C9" s="22" t="n">
        <v>0.983</v>
      </c>
      <c r="D9" s="22" t="n">
        <v>0.9879</v>
      </c>
      <c r="E9" s="22">
        <f>D9-C9</f>
        <v/>
      </c>
    </row>
    <row r="10" ht="15" customHeight="1" s="12">
      <c r="A10" s="22" t="inlineStr">
        <is>
          <t>XGBoost</t>
        </is>
      </c>
      <c r="B10" s="22" t="inlineStr">
        <is>
          <t>MCC</t>
        </is>
      </c>
      <c r="C10" s="22" t="n">
        <v>0.838</v>
      </c>
      <c r="D10" s="22" t="n">
        <v>0.902</v>
      </c>
      <c r="E10" s="22">
        <f>D10-C10</f>
        <v/>
      </c>
    </row>
    <row r="11" ht="15" customHeight="1" s="12">
      <c r="A11" s="22" t="inlineStr">
        <is>
          <t>Gradient Boosting</t>
        </is>
      </c>
      <c r="B11" s="22" t="inlineStr">
        <is>
          <t>R2</t>
        </is>
      </c>
      <c r="C11" s="22" t="n">
        <v>0.549</v>
      </c>
      <c r="D11" s="22" t="n">
        <v>0.5553</v>
      </c>
      <c r="E11" s="22">
        <f>D11-C11</f>
        <v/>
      </c>
    </row>
    <row r="12" ht="15" customHeight="1" s="12">
      <c r="A12" s="22" t="inlineStr">
        <is>
          <t>Gradient Boosting</t>
        </is>
      </c>
      <c r="B12" s="22" t="inlineStr">
        <is>
          <t>RMSE</t>
        </is>
      </c>
      <c r="C12" s="22" t="n">
        <v>11.6</v>
      </c>
      <c r="D12" s="22" t="n">
        <v>11.7525</v>
      </c>
      <c r="E12" s="22">
        <f>D12-C12</f>
        <v/>
      </c>
    </row>
    <row r="13" ht="15" customHeight="1" s="12">
      <c r="A13" s="22" t="inlineStr">
        <is>
          <t>Gradient Boosting</t>
        </is>
      </c>
      <c r="B13" s="22" t="inlineStr">
        <is>
          <t>Accuracy</t>
        </is>
      </c>
      <c r="C13" s="22" t="n">
        <v>0.9330000000000001</v>
      </c>
      <c r="D13" s="22" t="n">
        <v>0.9268999999999999</v>
      </c>
      <c r="E13" s="22">
        <f>D13-C13</f>
        <v/>
      </c>
    </row>
    <row r="14" ht="15" customHeight="1" s="12">
      <c r="A14" s="22" t="inlineStr">
        <is>
          <t>Gradient Boosting</t>
        </is>
      </c>
      <c r="B14" s="22" t="inlineStr">
        <is>
          <t>Precision</t>
        </is>
      </c>
      <c r="C14" s="22" t="n">
        <v>0.925</v>
      </c>
      <c r="D14" s="22" t="n">
        <v>0.8957000000000001</v>
      </c>
      <c r="E14" s="22">
        <f>D14-C14</f>
        <v/>
      </c>
    </row>
    <row r="15" ht="15" customHeight="1" s="12">
      <c r="A15" s="22" t="inlineStr">
        <is>
          <t>Gradient Boosting</t>
        </is>
      </c>
      <c r="B15" s="22" t="inlineStr">
        <is>
          <t>Recall</t>
        </is>
      </c>
      <c r="C15" s="22" t="n">
        <v>0.947</v>
      </c>
      <c r="D15" s="22" t="n">
        <v>0.9692</v>
      </c>
      <c r="E15" s="22">
        <f>D15-C15</f>
        <v/>
      </c>
    </row>
    <row r="16" ht="15" customHeight="1" s="12">
      <c r="A16" s="22" t="inlineStr">
        <is>
          <t>Gradient Boosting</t>
        </is>
      </c>
      <c r="B16" s="22" t="inlineStr">
        <is>
          <t>Specificity</t>
        </is>
      </c>
      <c r="C16" s="22" t="n">
        <v>0.92</v>
      </c>
      <c r="D16" s="22" t="n">
        <v>0.8846000000000001</v>
      </c>
      <c r="E16" s="22">
        <f>D16-C16</f>
        <v/>
      </c>
    </row>
    <row r="17" ht="15" customHeight="1" s="12">
      <c r="A17" s="22" t="inlineStr">
        <is>
          <t>Gradient Boosting</t>
        </is>
      </c>
      <c r="B17" s="22" t="inlineStr">
        <is>
          <t>F1</t>
        </is>
      </c>
      <c r="C17" s="22" t="n">
        <v>0.9340000000000001</v>
      </c>
      <c r="D17" s="22" t="n">
        <v>0.9303</v>
      </c>
      <c r="E17" s="22">
        <f>D17-C17</f>
        <v/>
      </c>
    </row>
    <row r="18" ht="15" customHeight="1" s="12">
      <c r="A18" s="22" t="inlineStr">
        <is>
          <t>Gradient Boosting</t>
        </is>
      </c>
      <c r="B18" s="22" t="inlineStr">
        <is>
          <t>AUC</t>
        </is>
      </c>
      <c r="C18" s="22" t="n">
        <v>0.983</v>
      </c>
      <c r="D18" s="22" t="n">
        <v>0.9808</v>
      </c>
      <c r="E18" s="22">
        <f>D18-C18</f>
        <v/>
      </c>
    </row>
    <row r="19" ht="15" customHeight="1" s="12">
      <c r="A19" s="22" t="inlineStr">
        <is>
          <t>Gradient Boosting</t>
        </is>
      </c>
      <c r="B19" s="22" t="inlineStr">
        <is>
          <t>MCC</t>
        </is>
      </c>
      <c r="C19" s="22" t="n">
        <v>0.87</v>
      </c>
      <c r="D19" s="22" t="n">
        <v>0.8582</v>
      </c>
      <c r="E19" s="22">
        <f>D19-C19</f>
        <v/>
      </c>
    </row>
    <row r="20" ht="15" customHeight="1" s="12">
      <c r="A20" s="22" t="inlineStr">
        <is>
          <t>Random Forest</t>
        </is>
      </c>
      <c r="B20" s="22" t="inlineStr">
        <is>
          <t>R2</t>
        </is>
      </c>
      <c r="C20" s="22" t="n">
        <v>0.532</v>
      </c>
      <c r="D20" s="22" t="n">
        <v>0.5034999999999999</v>
      </c>
      <c r="E20" s="22">
        <f>D20-C20</f>
        <v/>
      </c>
    </row>
    <row r="21" ht="15" customHeight="1" s="12">
      <c r="A21" s="22" t="inlineStr">
        <is>
          <t>Random Forest</t>
        </is>
      </c>
      <c r="B21" s="22" t="inlineStr">
        <is>
          <t>RMSE</t>
        </is>
      </c>
      <c r="C21" s="22" t="n">
        <v>11.8</v>
      </c>
      <c r="D21" s="22" t="n">
        <v>12.4179</v>
      </c>
      <c r="E21" s="22">
        <f>D21-C21</f>
        <v/>
      </c>
    </row>
    <row r="22" ht="15" customHeight="1" s="12">
      <c r="A22" s="22" t="inlineStr">
        <is>
          <t>Random Forest</t>
        </is>
      </c>
      <c r="B22" s="22" t="inlineStr">
        <is>
          <t>Accuracy</t>
        </is>
      </c>
      <c r="C22" s="22" t="n">
        <v>0.92</v>
      </c>
      <c r="D22" s="22" t="n">
        <v>0.8962</v>
      </c>
      <c r="E22" s="22">
        <f>D22-C22</f>
        <v/>
      </c>
    </row>
    <row r="23" ht="15" customHeight="1" s="12">
      <c r="A23" s="22" t="inlineStr">
        <is>
          <t>Random Forest</t>
        </is>
      </c>
      <c r="B23" s="22" t="inlineStr">
        <is>
          <t>Precision</t>
        </is>
      </c>
      <c r="C23" s="22" t="n">
        <v>0.906</v>
      </c>
      <c r="D23" s="22" t="n">
        <v>0.8784</v>
      </c>
      <c r="E23" s="22">
        <f>D23-C23</f>
        <v/>
      </c>
    </row>
    <row r="24" ht="15" customHeight="1" s="12">
      <c r="A24" s="22" t="inlineStr">
        <is>
          <t>Random Forest</t>
        </is>
      </c>
      <c r="B24" s="22" t="inlineStr">
        <is>
          <t>Recall</t>
        </is>
      </c>
      <c r="C24" s="22" t="n">
        <v>0.9399999999999999</v>
      </c>
      <c r="D24" s="22" t="n">
        <v>0.9231</v>
      </c>
      <c r="E24" s="22">
        <f>D24-C24</f>
        <v/>
      </c>
    </row>
    <row r="25" ht="15" customHeight="1" s="12">
      <c r="A25" s="22" t="inlineStr">
        <is>
          <t>Random Forest</t>
        </is>
      </c>
      <c r="B25" s="22" t="inlineStr">
        <is>
          <t>Specificity</t>
        </is>
      </c>
      <c r="C25" s="22" t="n">
        <v>0.9</v>
      </c>
      <c r="D25" s="22" t="n">
        <v>0.8692</v>
      </c>
      <c r="E25" s="22">
        <f>D25-C25</f>
        <v/>
      </c>
    </row>
    <row r="26" ht="15" customHeight="1" s="12">
      <c r="A26" s="22" t="inlineStr">
        <is>
          <t>Random Forest</t>
        </is>
      </c>
      <c r="B26" s="22" t="inlineStr">
        <is>
          <t>F1</t>
        </is>
      </c>
      <c r="C26" s="22" t="n">
        <v>0.922</v>
      </c>
      <c r="D26" s="22" t="n">
        <v>0.8991</v>
      </c>
      <c r="E26" s="22">
        <f>D26-C26</f>
        <v/>
      </c>
    </row>
    <row r="27" ht="15" customHeight="1" s="12">
      <c r="A27" s="22" t="inlineStr">
        <is>
          <t>Random Forest</t>
        </is>
      </c>
      <c r="B27" s="22" t="inlineStr">
        <is>
          <t>AUC</t>
        </is>
      </c>
      <c r="C27" s="22" t="n">
        <v>0.979</v>
      </c>
      <c r="D27" s="22" t="n">
        <v>0.9666</v>
      </c>
      <c r="E27" s="22">
        <f>D27-C27</f>
        <v/>
      </c>
    </row>
    <row r="28" ht="15" customHeight="1" s="12">
      <c r="A28" s="22" t="inlineStr">
        <is>
          <t>Random Forest</t>
        </is>
      </c>
      <c r="B28" s="22" t="inlineStr">
        <is>
          <t>MCC</t>
        </is>
      </c>
      <c r="C28" s="22" t="n">
        <v>0.843</v>
      </c>
      <c r="D28" s="22" t="n">
        <v>0.7953</v>
      </c>
      <c r="E28" s="22">
        <f>D28-C28</f>
        <v/>
      </c>
    </row>
    <row r="29" ht="15" customHeight="1" s="12">
      <c r="A29" s="22" t="inlineStr">
        <is>
          <t>MLP Regressor</t>
        </is>
      </c>
      <c r="B29" s="22" t="inlineStr">
        <is>
          <t>R2</t>
        </is>
      </c>
      <c r="C29" s="22" t="n">
        <v>0.49</v>
      </c>
      <c r="D29" s="22" t="n">
        <v>0.5043</v>
      </c>
      <c r="E29" s="22">
        <f>D29-C29</f>
        <v/>
      </c>
    </row>
    <row r="30" ht="15" customHeight="1" s="12">
      <c r="A30" s="22" t="inlineStr">
        <is>
          <t>MLP Regressor</t>
        </is>
      </c>
      <c r="B30" s="22" t="inlineStr">
        <is>
          <t>RMSE</t>
        </is>
      </c>
      <c r="C30" s="22" t="n">
        <v>12.3</v>
      </c>
      <c r="D30" s="22" t="n">
        <v>12.389</v>
      </c>
      <c r="E30" s="22">
        <f>D30-C30</f>
        <v/>
      </c>
    </row>
    <row r="31" ht="15" customHeight="1" s="12">
      <c r="A31" s="22" t="inlineStr">
        <is>
          <t>MLP Regressor</t>
        </is>
      </c>
      <c r="B31" s="22" t="inlineStr">
        <is>
          <t>Accuracy</t>
        </is>
      </c>
      <c r="C31" s="22" t="n">
        <v>0.917</v>
      </c>
      <c r="D31" s="22" t="n">
        <v>0.9077</v>
      </c>
      <c r="E31" s="22">
        <f>D31-C31</f>
        <v/>
      </c>
    </row>
    <row r="32" ht="15" customHeight="1" s="12">
      <c r="A32" s="22" t="inlineStr">
        <is>
          <t>MLP Regressor</t>
        </is>
      </c>
      <c r="B32" s="22" t="inlineStr">
        <is>
          <t>Precision</t>
        </is>
      </c>
      <c r="C32" s="22" t="n">
        <v>0.895</v>
      </c>
      <c r="D32" s="22" t="n">
        <v>0.895</v>
      </c>
      <c r="E32" s="22">
        <f>D32-C32</f>
        <v/>
      </c>
    </row>
    <row r="33" ht="15" customHeight="1" s="12">
      <c r="A33" s="22" t="inlineStr">
        <is>
          <t>MLP Regressor</t>
        </is>
      </c>
      <c r="B33" s="22" t="inlineStr">
        <is>
          <t>Recall</t>
        </is>
      </c>
      <c r="C33" s="22" t="n">
        <v>0.947</v>
      </c>
      <c r="D33" s="22" t="n">
        <v>0.9231</v>
      </c>
      <c r="E33" s="22">
        <f>D33-C33</f>
        <v/>
      </c>
    </row>
    <row r="34" ht="15" customHeight="1" s="12">
      <c r="A34" s="22" t="inlineStr">
        <is>
          <t>MLP Regressor</t>
        </is>
      </c>
      <c r="B34" s="22" t="inlineStr">
        <is>
          <t>Specificity</t>
        </is>
      </c>
      <c r="C34" s="22" t="n">
        <v>0.887</v>
      </c>
      <c r="D34" s="22" t="n">
        <v>0.8923</v>
      </c>
      <c r="E34" s="22">
        <f>D34-C34</f>
        <v/>
      </c>
    </row>
    <row r="35" ht="15" customHeight="1" s="12">
      <c r="A35" s="22" t="inlineStr">
        <is>
          <t>MLP Regressor</t>
        </is>
      </c>
      <c r="B35" s="22" t="inlineStr">
        <is>
          <t>F1</t>
        </is>
      </c>
      <c r="C35" s="22" t="n">
        <v>0.919</v>
      </c>
      <c r="D35" s="22" t="n">
        <v>0.9084</v>
      </c>
      <c r="E35" s="22">
        <f>D35-C35</f>
        <v/>
      </c>
    </row>
    <row r="36" ht="15" customHeight="1" s="12">
      <c r="A36" s="22" t="inlineStr">
        <is>
          <t>MLP Regressor</t>
        </is>
      </c>
      <c r="B36" s="22" t="inlineStr">
        <is>
          <t>AUC</t>
        </is>
      </c>
      <c r="C36" s="22" t="n">
        <v>0.966</v>
      </c>
      <c r="D36" s="22" t="n">
        <v>0.9719</v>
      </c>
      <c r="E36" s="22">
        <f>D36-C36</f>
        <v/>
      </c>
    </row>
    <row r="37" ht="15" customHeight="1" s="12">
      <c r="A37" s="22" t="inlineStr">
        <is>
          <t>MLP Regressor</t>
        </is>
      </c>
      <c r="B37" s="22" t="inlineStr">
        <is>
          <t>MCC</t>
        </is>
      </c>
      <c r="C37" s="22" t="n">
        <v>0.837</v>
      </c>
      <c r="D37" s="22" t="n">
        <v>0.8167</v>
      </c>
      <c r="E37" s="22">
        <f>D37-C37</f>
        <v/>
      </c>
    </row>
    <row r="38" ht="15" customHeight="1" s="12">
      <c r="A38" s="22" t="inlineStr">
        <is>
          <t>SVR (RBF)</t>
        </is>
      </c>
      <c r="B38" s="22" t="inlineStr">
        <is>
          <t>R2</t>
        </is>
      </c>
      <c r="C38" s="22" t="n">
        <v>0.421</v>
      </c>
      <c r="D38" s="22" t="n">
        <v>0.4228</v>
      </c>
      <c r="E38" s="22">
        <f>D38-C38</f>
        <v/>
      </c>
    </row>
    <row r="39" ht="15" customHeight="1" s="12">
      <c r="A39" s="22" t="inlineStr">
        <is>
          <t>SVR (RBF)</t>
        </is>
      </c>
      <c r="B39" s="22" t="inlineStr">
        <is>
          <t>RMSE</t>
        </is>
      </c>
      <c r="C39" s="22" t="n">
        <v>13.1</v>
      </c>
      <c r="D39" s="22" t="n">
        <v>13.3733</v>
      </c>
      <c r="E39" s="22">
        <f>D39-C39</f>
        <v/>
      </c>
    </row>
    <row r="40" ht="15" customHeight="1" s="12">
      <c r="A40" s="22" t="inlineStr">
        <is>
          <t>SVR (RBF)</t>
        </is>
      </c>
      <c r="B40" s="22" t="inlineStr">
        <is>
          <t>Accuracy</t>
        </is>
      </c>
      <c r="C40" s="22" t="n">
        <v>0.89</v>
      </c>
      <c r="D40" s="22" t="n">
        <v>0.8731</v>
      </c>
      <c r="E40" s="22">
        <f>D40-C40</f>
        <v/>
      </c>
    </row>
    <row r="41" ht="15" customHeight="1" s="12">
      <c r="A41" s="22" t="inlineStr">
        <is>
          <t>SVR (RBF)</t>
        </is>
      </c>
      <c r="B41" s="22" t="inlineStr">
        <is>
          <t>Precision</t>
        </is>
      </c>
      <c r="C41" s="22" t="n">
        <v>0.897</v>
      </c>
      <c r="D41" s="22" t="n">
        <v>0.8711</v>
      </c>
      <c r="E41" s="22">
        <f>D41-C41</f>
        <v/>
      </c>
    </row>
    <row r="42" ht="15" customHeight="1" s="12">
      <c r="A42" s="22" t="inlineStr">
        <is>
          <t>SVR (RBF)</t>
        </is>
      </c>
      <c r="B42" s="22" t="inlineStr">
        <is>
          <t>Recall</t>
        </is>
      </c>
      <c r="C42" s="22" t="n">
        <v>0.887</v>
      </c>
      <c r="D42" s="22" t="n">
        <v>0.8769</v>
      </c>
      <c r="E42" s="22">
        <f>D42-C42</f>
        <v/>
      </c>
    </row>
    <row r="43" ht="15" customHeight="1" s="12">
      <c r="A43" s="22" t="inlineStr">
        <is>
          <t>SVR (RBF)</t>
        </is>
      </c>
      <c r="B43" s="22" t="inlineStr">
        <is>
          <t>Specificity</t>
        </is>
      </c>
      <c r="C43" s="22" t="n">
        <v>0.893</v>
      </c>
      <c r="D43" s="22" t="n">
        <v>0.8692</v>
      </c>
      <c r="E43" s="22">
        <f>D43-C43</f>
        <v/>
      </c>
    </row>
    <row r="44" ht="15" customHeight="1" s="12">
      <c r="A44" s="22" t="inlineStr">
        <is>
          <t>SVR (RBF)</t>
        </is>
      </c>
      <c r="B44" s="22" t="inlineStr">
        <is>
          <t>F1</t>
        </is>
      </c>
      <c r="C44" s="22" t="n">
        <v>0.889</v>
      </c>
      <c r="D44" s="22" t="n">
        <v>0.8729</v>
      </c>
      <c r="E44" s="22">
        <f>D44-C44</f>
        <v/>
      </c>
    </row>
    <row r="45" ht="15" customHeight="1" s="12">
      <c r="A45" s="22" t="inlineStr">
        <is>
          <t>SVR (RBF)</t>
        </is>
      </c>
      <c r="B45" s="22" t="inlineStr">
        <is>
          <t>AUC</t>
        </is>
      </c>
      <c r="C45" s="22" t="n">
        <v>0.9419999999999999</v>
      </c>
      <c r="D45" s="22" t="n">
        <v>0.9459</v>
      </c>
      <c r="E45" s="22">
        <f>D45-C45</f>
        <v/>
      </c>
    </row>
    <row r="46" ht="15" customHeight="1" s="12">
      <c r="A46" s="22" t="inlineStr">
        <is>
          <t>SVR (RBF)</t>
        </is>
      </c>
      <c r="B46" s="22" t="inlineStr">
        <is>
          <t>MCC</t>
        </is>
      </c>
      <c r="C46" s="22" t="n">
        <v>0.785</v>
      </c>
      <c r="D46" s="22" t="n">
        <v>0.7481</v>
      </c>
      <c r="E46" s="22">
        <f>D46-C46</f>
        <v/>
      </c>
    </row>
    <row r="47" ht="15" customHeight="1" s="12">
      <c r="A47" s="22" t="inlineStr">
        <is>
          <t>Ridge Regression</t>
        </is>
      </c>
      <c r="B47" s="22" t="inlineStr">
        <is>
          <t>R2</t>
        </is>
      </c>
      <c r="C47" s="22" t="n">
        <v>0.368</v>
      </c>
      <c r="D47" s="22" t="n">
        <v>0.4652</v>
      </c>
      <c r="E47" s="22">
        <f>D47-C47</f>
        <v/>
      </c>
    </row>
    <row r="48" ht="15" customHeight="1" s="12">
      <c r="A48" s="22" t="inlineStr">
        <is>
          <t>Ridge Regression</t>
        </is>
      </c>
      <c r="B48" s="22" t="inlineStr">
        <is>
          <t>RMSE</t>
        </is>
      </c>
      <c r="C48" s="22" t="n">
        <v>13.7</v>
      </c>
      <c r="D48" s="22" t="n">
        <v>12.8609</v>
      </c>
      <c r="E48" s="22">
        <f>D48-C48</f>
        <v/>
      </c>
    </row>
    <row r="49" ht="15" customHeight="1" s="12">
      <c r="A49" s="22" t="inlineStr">
        <is>
          <t>Ridge Regression</t>
        </is>
      </c>
      <c r="B49" s="22" t="inlineStr">
        <is>
          <t>Accuracy</t>
        </is>
      </c>
      <c r="C49" s="22" t="n">
        <v>0.833</v>
      </c>
      <c r="D49" s="22" t="n">
        <v>0.9</v>
      </c>
      <c r="E49" s="22">
        <f>D49-C49</f>
        <v/>
      </c>
    </row>
    <row r="50" ht="15" customHeight="1" s="12">
      <c r="A50" s="22" t="inlineStr">
        <is>
          <t>Ridge Regression</t>
        </is>
      </c>
      <c r="B50" s="22" t="inlineStr">
        <is>
          <t>Precision</t>
        </is>
      </c>
      <c r="C50" s="22" t="n">
        <v>0.8110000000000001</v>
      </c>
      <c r="D50" s="22" t="n">
        <v>0.8951</v>
      </c>
      <c r="E50" s="22">
        <f>D50-C50</f>
        <v/>
      </c>
    </row>
    <row r="51" ht="15" customHeight="1" s="12">
      <c r="A51" s="22" t="inlineStr">
        <is>
          <t>Ridge Regression</t>
        </is>
      </c>
      <c r="B51" s="22" t="inlineStr">
        <is>
          <t>Recall</t>
        </is>
      </c>
      <c r="C51" s="22" t="n">
        <v>0.88</v>
      </c>
      <c r="D51" s="22" t="n">
        <v>0.9154</v>
      </c>
      <c r="E51" s="22">
        <f>D51-C51</f>
        <v/>
      </c>
    </row>
    <row r="52" ht="15" customHeight="1" s="12">
      <c r="A52" s="22" t="inlineStr">
        <is>
          <t>Ridge Regression</t>
        </is>
      </c>
      <c r="B52" s="22" t="inlineStr">
        <is>
          <t>Specificity</t>
        </is>
      </c>
      <c r="C52" s="22" t="n">
        <v>0.787</v>
      </c>
      <c r="D52" s="22" t="n">
        <v>0.8846000000000001</v>
      </c>
      <c r="E52" s="22">
        <f>D52-C52</f>
        <v/>
      </c>
    </row>
    <row r="53" ht="15" customHeight="1" s="12">
      <c r="A53" s="22" t="inlineStr">
        <is>
          <t>Ridge Regression</t>
        </is>
      </c>
      <c r="B53" s="22" t="inlineStr">
        <is>
          <t>F1</t>
        </is>
      </c>
      <c r="C53" s="22" t="n">
        <v>0.84</v>
      </c>
      <c r="D53" s="22" t="n">
        <v>0.9033</v>
      </c>
      <c r="E53" s="22">
        <f>D53-C53</f>
        <v/>
      </c>
    </row>
    <row r="54" ht="15" customHeight="1" s="12">
      <c r="A54" s="22" t="inlineStr">
        <is>
          <t>Ridge Regression</t>
        </is>
      </c>
      <c r="B54" s="22" t="inlineStr">
        <is>
          <t>AUC</t>
        </is>
      </c>
      <c r="C54" s="22" t="n">
        <v>0.921</v>
      </c>
      <c r="D54" s="22" t="n">
        <v>0.9583</v>
      </c>
      <c r="E54" s="22">
        <f>D54-C54</f>
        <v/>
      </c>
    </row>
    <row r="55" ht="15" customHeight="1" s="12">
      <c r="A55" s="22" t="inlineStr">
        <is>
          <t>Ridge Regression</t>
        </is>
      </c>
      <c r="B55" s="22" t="inlineStr">
        <is>
          <t>MCC</t>
        </is>
      </c>
      <c r="C55" s="22" t="n">
        <v>0.678</v>
      </c>
      <c r="D55" s="22" t="n">
        <v>0.8035</v>
      </c>
      <c r="E55" s="22">
        <f>D55-C55</f>
        <v/>
      </c>
    </row>
    <row r="57" ht="15" customHeight="1" s="12">
      <c r="A57" s="15" t="inlineStr">
        <is>
          <t>XGBoost without validation-fold early stopping (honest variant)</t>
        </is>
      </c>
    </row>
    <row r="58" ht="15" customHeight="1" s="12">
      <c r="A58" s="17" t="inlineStr">
        <is>
          <t>Variant</t>
        </is>
      </c>
      <c r="B58" s="17" t="inlineStr">
        <is>
          <t>Metric</t>
        </is>
      </c>
      <c r="C58" s="17" t="n"/>
      <c r="D58" s="17" t="inlineStr">
        <is>
          <t>Recomputed</t>
        </is>
      </c>
      <c r="E58" s="17" t="n"/>
    </row>
    <row r="59" ht="15" customHeight="1" s="12">
      <c r="A59" s="22" t="inlineStr">
        <is>
          <t>XGBoost, early stopping on inner train split</t>
        </is>
      </c>
      <c r="B59" s="22" t="inlineStr">
        <is>
          <t>R2</t>
        </is>
      </c>
      <c r="C59" s="22" t="n"/>
      <c r="D59" s="22" t="n">
        <v>0.543</v>
      </c>
      <c r="E59" s="22" t="n"/>
    </row>
    <row r="60" ht="15" customHeight="1" s="12">
      <c r="A60" s="22" t="inlineStr">
        <is>
          <t>XGBoost, early stopping on inner train split</t>
        </is>
      </c>
      <c r="B60" s="22" t="inlineStr">
        <is>
          <t>RMSE</t>
        </is>
      </c>
      <c r="C60" s="22" t="n"/>
      <c r="D60" s="22" t="n">
        <v>11.9138</v>
      </c>
      <c r="E60" s="22" t="n"/>
    </row>
    <row r="61" ht="15" customHeight="1" s="12">
      <c r="A61" s="22" t="inlineStr">
        <is>
          <t>XGBoost, early stopping on inner train split</t>
        </is>
      </c>
      <c r="B61" s="22" t="inlineStr">
        <is>
          <t>Accuracy</t>
        </is>
      </c>
      <c r="C61" s="22" t="n"/>
      <c r="D61" s="22" t="n">
        <v>0.9308</v>
      </c>
      <c r="E61" s="22" t="n"/>
    </row>
    <row r="62" ht="15" customHeight="1" s="12">
      <c r="A62" s="22" t="inlineStr">
        <is>
          <t>XGBoost, early stopping on inner train split</t>
        </is>
      </c>
      <c r="B62" s="22" t="inlineStr">
        <is>
          <t>Precision</t>
        </is>
      </c>
      <c r="C62" s="22" t="n"/>
      <c r="D62" s="22" t="n">
        <v>0.9127999999999999</v>
      </c>
      <c r="E62" s="22" t="n"/>
    </row>
    <row r="63" ht="15" customHeight="1" s="12">
      <c r="A63" s="22" t="inlineStr">
        <is>
          <t>XGBoost, early stopping on inner train split</t>
        </is>
      </c>
      <c r="B63" s="22" t="inlineStr">
        <is>
          <t>Recall</t>
        </is>
      </c>
      <c r="C63" s="22" t="n"/>
      <c r="D63" s="22" t="n">
        <v>0.9538</v>
      </c>
      <c r="E63" s="22" t="n"/>
    </row>
    <row r="64" ht="15" customHeight="1" s="12">
      <c r="A64" s="22" t="inlineStr">
        <is>
          <t>XGBoost, early stopping on inner train split</t>
        </is>
      </c>
      <c r="B64" s="22" t="inlineStr">
        <is>
          <t>Specificity</t>
        </is>
      </c>
      <c r="C64" s="22" t="n"/>
      <c r="D64" s="22" t="n">
        <v>0.9077</v>
      </c>
      <c r="E64" s="22" t="n"/>
    </row>
    <row r="65" ht="15" customHeight="1" s="12">
      <c r="A65" s="22" t="inlineStr">
        <is>
          <t>XGBoost, early stopping on inner train split</t>
        </is>
      </c>
      <c r="B65" s="22" t="inlineStr">
        <is>
          <t>F1</t>
        </is>
      </c>
      <c r="C65" s="22" t="n"/>
      <c r="D65" s="22" t="n">
        <v>0.9322</v>
      </c>
      <c r="E65" s="22" t="n"/>
    </row>
    <row r="66" ht="15" customHeight="1" s="12">
      <c r="A66" s="22" t="inlineStr">
        <is>
          <t>XGBoost, early stopping on inner train split</t>
        </is>
      </c>
      <c r="B66" s="22" t="inlineStr">
        <is>
          <t>AUC</t>
        </is>
      </c>
      <c r="C66" s="22" t="n"/>
      <c r="D66" s="22" t="n">
        <v>0.9834000000000001</v>
      </c>
      <c r="E66" s="22" t="n"/>
    </row>
    <row r="67" ht="15" customHeight="1" s="12">
      <c r="A67" s="22" t="inlineStr">
        <is>
          <t>XGBoost, early stopping on inner train split</t>
        </is>
      </c>
      <c r="B67" s="22" t="inlineStr">
        <is>
          <t>MCC</t>
        </is>
      </c>
      <c r="C67" s="22" t="n"/>
      <c r="D67" s="22" t="n">
        <v>0.8639</v>
      </c>
      <c r="E67" s="22" t="n"/>
    </row>
    <row r="69" ht="15" customHeight="1" s="12">
      <c r="A69" s="23" t="inlineStr">
        <is>
          <t>Setup replicated exactly from scripts/ml_algorithm_comparison.py: features = aspect scores + mention rates + brand_tier (no price, no category); NaN filled with 0 for all models; classification metrics use the top/bottom quintile of each fold and threshold predictions at the median of the TRUE fold values.</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G16"/>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48" customWidth="1" style="11" min="1" max="1"/>
    <col width="30" customWidth="1" style="11" min="2" max="2"/>
    <col width="10" customWidth="1" style="11" min="3" max="3"/>
    <col width="12" customWidth="1" style="11" min="4" max="4"/>
    <col width="10" customWidth="1" style="11" min="5" max="6"/>
    <col width="18" customWidth="1" style="11" min="7" max="7"/>
  </cols>
  <sheetData>
    <row r="1" ht="23.85" customHeight="1" s="12">
      <c r="A1" s="17" t="inlineStr">
        <is>
          <t>Feature set</t>
        </is>
      </c>
      <c r="B1" s="17" t="inlineStr">
        <is>
          <t>Variant</t>
        </is>
      </c>
      <c r="C1" s="17" t="inlineStr">
        <is>
          <t>CV R2</t>
        </is>
      </c>
      <c r="D1" s="17" t="inlineStr">
        <is>
          <t>R2 fold SD</t>
        </is>
      </c>
      <c r="E1" s="17" t="inlineStr">
        <is>
          <t>RMSE</t>
        </is>
      </c>
      <c r="F1" s="17" t="inlineStr">
        <is>
          <t>MAE</t>
        </is>
      </c>
      <c r="G1" s="17" t="inlineStr">
        <is>
          <t>Mean per-category R2</t>
        </is>
      </c>
    </row>
    <row r="2" ht="15" customHeight="1" s="12">
      <c r="A2" s="18" t="inlineStr">
        <is>
          <t>FULL (incl. rating/count/velocity)</t>
        </is>
      </c>
      <c r="B2" s="18" t="inlineStr">
        <is>
          <t>repo_style_peek_constrained</t>
        </is>
      </c>
      <c r="C2" s="18" t="n">
        <v>0.8873</v>
      </c>
      <c r="D2" s="18" t="n">
        <v>0.0063</v>
      </c>
      <c r="E2" s="18" t="n">
        <v>5.913</v>
      </c>
      <c r="F2" s="18" t="n">
        <v>4.597</v>
      </c>
      <c r="G2" s="18" t="n">
        <v>0.8521</v>
      </c>
    </row>
    <row r="3" ht="15" customHeight="1" s="12">
      <c r="A3" s="18" t="inlineStr">
        <is>
          <t>FULL (incl. rating/count/velocity)</t>
        </is>
      </c>
      <c r="B3" s="18" t="inlineStr">
        <is>
          <t>honest_constrained</t>
        </is>
      </c>
      <c r="C3" s="18" t="n">
        <v>0.8857</v>
      </c>
      <c r="D3" s="18" t="n">
        <v>0.0056</v>
      </c>
      <c r="E3" s="18" t="n">
        <v>5.954</v>
      </c>
      <c r="F3" s="18" t="n">
        <v>4.623</v>
      </c>
      <c r="G3" s="18" t="n">
        <v>0.8499</v>
      </c>
    </row>
    <row r="4" ht="15" customHeight="1" s="12">
      <c r="A4" s="18" t="inlineStr">
        <is>
          <t>FULL (incl. rating/count/velocity)</t>
        </is>
      </c>
      <c r="B4" s="18" t="inlineStr">
        <is>
          <t>honest_unconstrained</t>
        </is>
      </c>
      <c r="C4" s="18" t="n">
        <v>0.8821</v>
      </c>
      <c r="D4" s="18" t="n">
        <v>0.011</v>
      </c>
      <c r="E4" s="18" t="n">
        <v>6.044</v>
      </c>
      <c r="F4" s="18" t="n">
        <v>4.586</v>
      </c>
      <c r="G4" s="18" t="n">
        <v>0.844</v>
      </c>
    </row>
    <row r="5" ht="23.85" customHeight="1" s="12">
      <c r="A5" s="18" t="inlineStr">
        <is>
          <t>ASPECTS-ONLY (repo headline: aspects+mention+price+brand_tier+category)</t>
        </is>
      </c>
      <c r="B5" s="18" t="inlineStr">
        <is>
          <t>repo_style_peek_constrained</t>
        </is>
      </c>
      <c r="C5" s="18" t="n">
        <v>0.5768</v>
      </c>
      <c r="D5" s="18" t="n">
        <v>0.0148</v>
      </c>
      <c r="E5" s="18" t="n">
        <v>11.465</v>
      </c>
      <c r="F5" s="18" t="n">
        <v>8.853999999999999</v>
      </c>
      <c r="G5" s="18" t="n">
        <v>0.4508</v>
      </c>
    </row>
    <row r="6" ht="23.85" customHeight="1" s="12">
      <c r="A6" s="18" t="inlineStr">
        <is>
          <t>ASPECTS-ONLY (repo headline: aspects+mention+price+brand_tier+category)</t>
        </is>
      </c>
      <c r="B6" s="18" t="inlineStr">
        <is>
          <t>honest_constrained</t>
        </is>
      </c>
      <c r="C6" s="18" t="n">
        <v>0.5542</v>
      </c>
      <c r="D6" s="18" t="n">
        <v>0.0275</v>
      </c>
      <c r="E6" s="18" t="n">
        <v>11.77</v>
      </c>
      <c r="F6" s="18" t="n">
        <v>9.114000000000001</v>
      </c>
      <c r="G6" s="18" t="n">
        <v>0.4215</v>
      </c>
    </row>
    <row r="7" ht="23.85" customHeight="1" s="12">
      <c r="A7" s="18" t="inlineStr">
        <is>
          <t>ASPECTS-ONLY (repo headline: aspects+mention+price+brand_tier+category)</t>
        </is>
      </c>
      <c r="B7" s="18" t="inlineStr">
        <is>
          <t>honest_unconstrained</t>
        </is>
      </c>
      <c r="C7" s="18" t="n">
        <v>0.594</v>
      </c>
      <c r="D7" s="18" t="n">
        <v>0.0155</v>
      </c>
      <c r="E7" s="18" t="n">
        <v>11.23</v>
      </c>
      <c r="F7" s="18" t="n">
        <v>8.647</v>
      </c>
      <c r="G7" s="18" t="n">
        <v>0.4703</v>
      </c>
    </row>
    <row r="8" ht="15" customHeight="1" s="12">
      <c r="A8" s="18" t="inlineStr">
        <is>
          <t>aspects+brand_tier (no price)</t>
        </is>
      </c>
      <c r="B8" s="18" t="inlineStr">
        <is>
          <t>repo_style_peek_constrained</t>
        </is>
      </c>
      <c r="C8" s="18" t="n">
        <v>0.5814</v>
      </c>
      <c r="D8" s="18" t="n">
        <v>0.0272</v>
      </c>
      <c r="E8" s="18" t="n">
        <v>11.399</v>
      </c>
      <c r="F8" s="18" t="n">
        <v>8.835000000000001</v>
      </c>
      <c r="G8" s="18" t="n">
        <v>0.4556</v>
      </c>
    </row>
    <row r="9" ht="15" customHeight="1" s="12">
      <c r="A9" s="18" t="inlineStr">
        <is>
          <t>aspects+brand_tier (no price)</t>
        </is>
      </c>
      <c r="B9" s="18" t="inlineStr">
        <is>
          <t>honest_constrained</t>
        </is>
      </c>
      <c r="C9" s="18" t="n">
        <v>0.5703</v>
      </c>
      <c r="D9" s="18" t="n">
        <v>0.0251</v>
      </c>
      <c r="E9" s="18" t="n">
        <v>11.552</v>
      </c>
      <c r="F9" s="18" t="n">
        <v>8.936999999999999</v>
      </c>
      <c r="G9" s="18" t="n">
        <v>0.4405</v>
      </c>
    </row>
    <row r="10" ht="15" customHeight="1" s="12">
      <c r="A10" s="18" t="inlineStr">
        <is>
          <t>aspects+brand_tier (no price)</t>
        </is>
      </c>
      <c r="B10" s="18" t="inlineStr">
        <is>
          <t>honest_unconstrained</t>
        </is>
      </c>
      <c r="C10" s="18" t="n">
        <v>0.5775</v>
      </c>
      <c r="D10" s="18" t="n">
        <v>0.0101</v>
      </c>
      <c r="E10" s="18" t="n">
        <v>11.457</v>
      </c>
      <c r="F10" s="18" t="n">
        <v>8.872999999999999</v>
      </c>
      <c r="G10" s="18" t="n">
        <v>0.4505</v>
      </c>
    </row>
    <row r="11" ht="15" customHeight="1" s="12">
      <c r="A11" s="18" t="inlineStr">
        <is>
          <t>pure aspects (no price, no brand_tier)</t>
        </is>
      </c>
      <c r="B11" s="18" t="inlineStr">
        <is>
          <t>repo_style_peek_constrained</t>
        </is>
      </c>
      <c r="C11" s="18" t="n">
        <v>0.5442</v>
      </c>
      <c r="D11" s="18" t="n">
        <v>0.0332</v>
      </c>
      <c r="E11" s="18" t="n">
        <v>11.895</v>
      </c>
      <c r="F11" s="18" t="n">
        <v>9.289</v>
      </c>
      <c r="G11" s="18" t="n">
        <v>0.409</v>
      </c>
    </row>
    <row r="12" ht="15" customHeight="1" s="12">
      <c r="A12" s="18" t="inlineStr">
        <is>
          <t>pure aspects (no price, no brand_tier)</t>
        </is>
      </c>
      <c r="B12" s="18" t="inlineStr">
        <is>
          <t>honest_constrained</t>
        </is>
      </c>
      <c r="C12" s="18" t="n">
        <v>0.5389</v>
      </c>
      <c r="D12" s="18" t="n">
        <v>0.0323</v>
      </c>
      <c r="E12" s="18" t="n">
        <v>11.965</v>
      </c>
      <c r="F12" s="18" t="n">
        <v>9.33</v>
      </c>
      <c r="G12" s="18" t="n">
        <v>0.4036</v>
      </c>
    </row>
    <row r="13" ht="15" customHeight="1" s="12">
      <c r="A13" s="18" t="inlineStr">
        <is>
          <t>pure aspects (no price, no brand_tier)</t>
        </is>
      </c>
      <c r="B13" s="18" t="inlineStr">
        <is>
          <t>honest_unconstrained</t>
        </is>
      </c>
      <c r="C13" s="18" t="n">
        <v>0.5417999999999999</v>
      </c>
      <c r="D13" s="18" t="n">
        <v>0.015</v>
      </c>
      <c r="E13" s="18" t="n">
        <v>11.932</v>
      </c>
      <c r="F13" s="18" t="n">
        <v>9.353999999999999</v>
      </c>
      <c r="G13" s="18" t="n">
        <v>0.4054</v>
      </c>
    </row>
    <row r="15" ht="15" customHeight="1" s="12">
      <c r="A15" s="23" t="inlineStr">
        <is>
          <t>repo_style_peek = early stopping scored on the validation fold (as the repo does). honest = early stopping on an inner split of the training fold only. constrained = monotone constraints (price -1; brand tier and aspects +1) as in the repo.</t>
        </is>
      </c>
    </row>
    <row r="16" ht="15" customHeight="1" s="12">
      <c r="A16" s="23" t="inlineStr">
        <is>
          <t>ASPECTS-ONLY here keeps price, as in the repo (price is not in its leaky-column list), although training_report notes say it drops price.</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B34"/>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62" customWidth="1" style="11" min="1" max="1"/>
    <col width="100" customWidth="1" style="11" min="2" max="2"/>
  </cols>
  <sheetData>
    <row r="1" ht="15" customHeight="1" s="12">
      <c r="A1" s="17" t="inlineStr">
        <is>
          <t>Item</t>
        </is>
      </c>
      <c r="B1" s="17" t="inlineStr">
        <is>
          <t>Value</t>
        </is>
      </c>
    </row>
    <row r="2" ht="15" customHeight="1" s="12">
      <c r="A2" s="18" t="inlineStr">
        <is>
          <t>Retained products by category</t>
        </is>
      </c>
      <c r="B2" s="18" t="n"/>
    </row>
    <row r="3" ht="15" customHeight="1" s="12">
      <c r="A3" s="18" t="inlineStr">
        <is>
          <t xml:space="preserve">  bluetooth_speakers</t>
        </is>
      </c>
      <c r="B3" s="18" t="n">
        <v>135</v>
      </c>
    </row>
    <row r="4" ht="15" customHeight="1" s="12">
      <c r="A4" s="18" t="inlineStr">
        <is>
          <t xml:space="preserve">  ice_makers</t>
        </is>
      </c>
      <c r="B4" s="18" t="n">
        <v>145</v>
      </c>
    </row>
    <row r="5" ht="15" customHeight="1" s="12">
      <c r="A5" s="18" t="inlineStr">
        <is>
          <t xml:space="preserve">  power_banks</t>
        </is>
      </c>
      <c r="B5" s="18" t="n">
        <v>99</v>
      </c>
    </row>
    <row r="6" ht="15" customHeight="1" s="12">
      <c r="A6" s="18" t="inlineStr">
        <is>
          <t xml:space="preserve">  smartwatches</t>
        </is>
      </c>
      <c r="B6" s="18" t="n">
        <v>114</v>
      </c>
    </row>
    <row r="7" ht="15" customHeight="1" s="12">
      <c r="A7" s="18" t="inlineStr">
        <is>
          <t xml:space="preserve">  wireless_headphones</t>
        </is>
      </c>
      <c r="B7" s="18" t="n">
        <v>138</v>
      </c>
    </row>
    <row r="8" ht="15" customHeight="1" s="12">
      <c r="A8" s="18" t="inlineStr">
        <is>
          <t>Total products by category (incl. 9 fraud)</t>
        </is>
      </c>
      <c r="B8" s="18" t="n"/>
    </row>
    <row r="9" ht="15" customHeight="1" s="12">
      <c r="A9" s="18" t="inlineStr">
        <is>
          <t xml:space="preserve">  bluetooth_speakers</t>
        </is>
      </c>
      <c r="B9" s="18" t="n">
        <v>136</v>
      </c>
    </row>
    <row r="10" ht="15" customHeight="1" s="12">
      <c r="A10" s="18" t="inlineStr">
        <is>
          <t xml:space="preserve">  ice_makers</t>
        </is>
      </c>
      <c r="B10" s="18" t="n">
        <v>147</v>
      </c>
    </row>
    <row r="11" ht="15" customHeight="1" s="12">
      <c r="A11" s="18" t="inlineStr">
        <is>
          <t xml:space="preserve">  power_banks</t>
        </is>
      </c>
      <c r="B11" s="18" t="n">
        <v>103</v>
      </c>
    </row>
    <row r="12" ht="15" customHeight="1" s="12">
      <c r="A12" s="18" t="inlineStr">
        <is>
          <t xml:space="preserve">  smartwatches</t>
        </is>
      </c>
      <c r="B12" s="18" t="n">
        <v>116</v>
      </c>
    </row>
    <row r="13" ht="15" customHeight="1" s="12">
      <c r="A13" s="18" t="inlineStr">
        <is>
          <t xml:space="preserve">  wireless_headphones</t>
        </is>
      </c>
      <c r="B13" s="18" t="n">
        <v>138</v>
      </c>
    </row>
    <row r="14" ht="15" customHeight="1" s="12">
      <c r="A14" s="18" t="inlineStr">
        <is>
          <t>Pre / post cutoff (31 Oct 2021) by category, retained</t>
        </is>
      </c>
      <c r="B14" s="18" t="n"/>
    </row>
    <row r="15" ht="15" customHeight="1" s="12">
      <c r="A15" s="18" t="inlineStr">
        <is>
          <t xml:space="preserve">  bluetooth_speakers</t>
        </is>
      </c>
      <c r="B15" s="18" t="inlineStr">
        <is>
          <t>pre 128 / post 7</t>
        </is>
      </c>
    </row>
    <row r="16" ht="15" customHeight="1" s="12">
      <c r="A16" s="18" t="inlineStr">
        <is>
          <t xml:space="preserve">  ice_makers</t>
        </is>
      </c>
      <c r="B16" s="18" t="inlineStr">
        <is>
          <t>pre 109 / post 36</t>
        </is>
      </c>
    </row>
    <row r="17" ht="15" customHeight="1" s="12">
      <c r="A17" s="18" t="inlineStr">
        <is>
          <t xml:space="preserve">  power_banks</t>
        </is>
      </c>
      <c r="B17" s="18" t="inlineStr">
        <is>
          <t>pre 80 / post 19</t>
        </is>
      </c>
    </row>
    <row r="18" ht="15" customHeight="1" s="12">
      <c r="A18" s="18" t="inlineStr">
        <is>
          <t xml:space="preserve">  smartwatches</t>
        </is>
      </c>
      <c r="B18" s="18" t="inlineStr">
        <is>
          <t>pre 75 / post 39</t>
        </is>
      </c>
    </row>
    <row r="19" ht="15" customHeight="1" s="12">
      <c r="A19" s="18" t="inlineStr">
        <is>
          <t xml:space="preserve">  wireless_headphones</t>
        </is>
      </c>
      <c r="B19" s="18" t="inlineStr">
        <is>
          <t>pre 115 / post 23</t>
        </is>
      </c>
    </row>
    <row r="20" ht="15" customHeight="1" s="12">
      <c r="A20" s="18" t="inlineStr">
        <is>
          <t>Reviews per retained product: min / p25 / median / p75 / max</t>
        </is>
      </c>
      <c r="B20" s="18" t="inlineStr">
        <is>
          <t>5 / 21.0 / 47.0 / 74.5 / 300</t>
        </is>
      </c>
    </row>
    <row r="21" ht="15" customHeight="1" s="12">
      <c r="A21" s="18" t="inlineStr">
        <is>
          <t>Word count: min / median / max</t>
        </is>
      </c>
      <c r="B21" s="18" t="inlineStr">
        <is>
          <t>10 / 39.0 / 400</t>
        </is>
      </c>
    </row>
    <row r="22" ht="15" customHeight="1" s="12">
      <c r="A22" s="18" t="inlineStr">
        <is>
          <t>Rating distribution (1..5 stars)</t>
        </is>
      </c>
      <c r="B22" s="18" t="inlineStr">
        <is>
          <t>1.0:5494, 2.0:2941, 3.0:3827, 4.0:5856, 5.0:25481</t>
        </is>
      </c>
    </row>
    <row r="23" ht="15" customHeight="1" s="12">
      <c r="A23" s="18" t="inlineStr">
        <is>
          <t>Review date range</t>
        </is>
      </c>
      <c r="B23" s="18" t="inlineStr">
        <is>
          <t>2006-02-20 to 2023-09-05</t>
        </is>
      </c>
    </row>
    <row r="24" ht="15" customHeight="1" s="12">
      <c r="A24" s="18" t="inlineStr">
        <is>
          <t>Price min / median / max (USD)</t>
        </is>
      </c>
      <c r="B24" s="18" t="inlineStr">
        <is>
          <t>6.36 / 49.99 / 1272.99</t>
        </is>
      </c>
    </row>
    <row r="25" ht="15" customHeight="1" s="12">
      <c r="A25" s="18" t="inlineStr">
        <is>
          <t>Success score mean / SD (retained)</t>
        </is>
      </c>
      <c r="B25" s="18" t="inlineStr">
        <is>
          <t>50.56 / 17.65</t>
        </is>
      </c>
    </row>
    <row r="26" ht="15" customHeight="1" s="12">
      <c r="A26" s="18" t="inlineStr">
        <is>
          <t>Success score SD by category</t>
        </is>
      </c>
      <c r="B26" s="18" t="inlineStr">
        <is>
          <t>bluetooth_speakers:18.49, ice_makers:13.22, power_banks:16.93, smartwatches:15.02, wireless_headphones:14.82</t>
        </is>
      </c>
    </row>
    <row r="27" ht="15" customHeight="1" s="12">
      <c r="A27" s="18" t="inlineStr">
        <is>
          <t>Correlation of avg_rating with success score</t>
        </is>
      </c>
      <c r="B27" s="18" t="n">
        <v>0.457</v>
      </c>
    </row>
    <row r="28" ht="15" customHeight="1" s="12">
      <c r="A28" s="18" t="inlineStr">
        <is>
          <t>Extraction rows used for features (conf&gt;=0.3, product in set)</t>
        </is>
      </c>
      <c r="B28" s="18" t="n">
        <v>32477</v>
      </c>
    </row>
    <row r="29" ht="23.85" customHeight="1" s="12">
      <c r="A29" s="18" t="inlineStr">
        <is>
          <t>Reviews with a matching extraction row by category</t>
        </is>
      </c>
      <c r="B29" s="18" t="inlineStr">
        <is>
          <t>bluetooth 63.6%, power banks 80.4%, smartwatches 90.3%, headphones 61.7%, ice makers 67.4%; overall 29,410 of 43,599 (67.5%)</t>
        </is>
      </c>
    </row>
    <row r="30" ht="15" customHeight="1" s="12">
      <c r="A30" s="18" t="inlineStr">
        <is>
          <t>Brand tier counts (0/1/2/3)</t>
        </is>
      </c>
      <c r="B30" s="18" t="inlineStr">
        <is>
          <t>0:237, 1:172, 2:92, 3:130</t>
        </is>
      </c>
    </row>
    <row r="31" ht="15" customHeight="1" s="12">
      <c r="A31" s="18" t="inlineStr">
        <is>
          <t>Distinct brands (640 products)</t>
        </is>
      </c>
      <c r="B31" s="18" t="n">
        <v>340</v>
      </c>
    </row>
    <row r="32" ht="23.85" customHeight="1" s="12">
      <c r="A32" s="18" t="inlineStr">
        <is>
          <t>Mean aspect mention rate</t>
        </is>
      </c>
      <c r="B32" s="18" t="inlineStr">
        <is>
          <t>value_for_money:0.380, utility:0.833, ease_of_use:0.540, reliability:0.382, design_appeal:0.309, after_sales:0.102, build_quality:0.234, durability:0.191, repairability:0.025</t>
        </is>
      </c>
    </row>
    <row r="33" ht="23.85" customHeight="1" s="12">
      <c r="A33" s="18" t="inlineStr">
        <is>
          <t>Products with missing aspect score (of 631)</t>
        </is>
      </c>
      <c r="B33" s="18" t="inlineStr">
        <is>
          <t>value_for_money:1, utility:0, ease_of_use:1, reliability:1, design_appeal:7, after_sales:91, build_quality:9, durability:30, repairability:327</t>
        </is>
      </c>
    </row>
    <row r="34" ht="15" customHeight="1" s="12">
      <c r="A34" s="18" t="inlineStr">
        <is>
          <t>Lifetime rating count: min / p10 / median / p90</t>
        </is>
      </c>
      <c r="B34" s="18" t="inlineStr">
        <is>
          <t>97 / 317.0 / 5177.0 / 28665.0</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D24"/>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58" customWidth="1" style="11" min="1" max="1"/>
    <col width="34" customWidth="1" style="11" min="2" max="2"/>
    <col width="12" customWidth="1" style="11" min="3" max="3"/>
    <col width="60" customWidth="1" style="11" min="4" max="4"/>
  </cols>
  <sheetData>
    <row r="1" ht="15" customHeight="1" s="12">
      <c r="A1" s="17" t="inlineStr">
        <is>
          <t>Benchmark (TRUE aspect scores, no bridging)</t>
        </is>
      </c>
      <c r="B1" s="17" t="inlineStr">
        <is>
          <t>Metric</t>
        </is>
      </c>
      <c r="C1" s="17" t="inlineStr">
        <is>
          <t>Value</t>
        </is>
      </c>
      <c r="D1" s="17" t="inlineStr">
        <is>
          <t>95% range / note</t>
        </is>
      </c>
    </row>
    <row r="2" ht="15" customHeight="1" s="12">
      <c r="A2" s="18" t="inlineStr">
        <is>
          <t>Random category-stratified holdout of 117, 40 repeats</t>
        </is>
      </c>
      <c r="B2" s="18" t="inlineStr">
        <is>
          <t>Spearman rho</t>
        </is>
      </c>
      <c r="C2" s="18" t="n">
        <v>0.774</v>
      </c>
      <c r="D2" s="18" t="inlineStr">
        <is>
          <t>0.710 to 0.842</t>
        </is>
      </c>
    </row>
    <row r="3" ht="15" customHeight="1" s="12">
      <c r="A3" s="18" t="inlineStr">
        <is>
          <t>Random category-stratified holdout of 117, 40 repeats</t>
        </is>
      </c>
      <c r="B3" s="18" t="inlineStr">
        <is>
          <t>AUC top vs bottom quintile</t>
        </is>
      </c>
      <c r="C3" s="18" t="n">
        <v>0.981</v>
      </c>
      <c r="D3" s="18" t="inlineStr">
        <is>
          <t>0.948 to 1.000</t>
        </is>
      </c>
    </row>
    <row r="4" ht="15" customHeight="1" s="12">
      <c r="A4" s="18" t="inlineStr">
        <is>
          <t>Random category-stratified holdout of 117, 40 repeats</t>
        </is>
      </c>
      <c r="B4" s="18" t="inlineStr">
        <is>
          <t>Mean within-category rho</t>
        </is>
      </c>
      <c r="C4" s="18" t="n">
        <v>0.677</v>
      </c>
      <c r="D4" s="18" t="inlineStr">
        <is>
          <t>0.562 to 0.752</t>
        </is>
      </c>
    </row>
    <row r="5" ht="15" customHeight="1" s="12">
      <c r="A5" s="18" t="inlineStr">
        <is>
          <t>Random category-stratified holdout of 117, 40 repeats</t>
        </is>
      </c>
      <c r="B5" s="18" t="inlineStr">
        <is>
          <t>Price-percentile baseline rho</t>
        </is>
      </c>
      <c r="C5" s="18" t="n">
        <v>0.147</v>
      </c>
      <c r="D5" s="18" t="inlineStr">
        <is>
          <t>0.023 to 0.271</t>
        </is>
      </c>
    </row>
    <row r="6" ht="23.85" customHeight="1" s="12">
      <c r="A6" s="18" t="inlineStr">
        <is>
          <t>Random category-stratified holdout of 117, 40 repeats</t>
        </is>
      </c>
      <c r="B6" s="18" t="inlineStr">
        <is>
          <t>Price-percentile baseline, mean within-category rho</t>
        </is>
      </c>
      <c r="C6" s="18" t="n">
        <v>0.176</v>
      </c>
      <c r="D6" s="18" t="inlineStr">
        <is>
          <t>0.053 to 0.312</t>
        </is>
      </c>
    </row>
    <row r="7" ht="15" customHeight="1" s="12">
      <c r="A7" s="18" t="inlineStr">
        <is>
          <t>Temporal: train &lt;= 31 Oct 2021, test after (n=124)</t>
        </is>
      </c>
      <c r="B7" s="18" t="inlineStr">
        <is>
          <t>Spearman rho</t>
        </is>
      </c>
      <c r="C7" s="18" t="n">
        <v>0.749</v>
      </c>
      <c r="D7" s="18" t="n"/>
    </row>
    <row r="8" ht="15" customHeight="1" s="12">
      <c r="A8" s="18" t="inlineStr">
        <is>
          <t>Temporal: train &lt;= 31 Oct 2021, test after (n=124)</t>
        </is>
      </c>
      <c r="B8" s="18" t="inlineStr">
        <is>
          <t>AUC top vs bottom quintile</t>
        </is>
      </c>
      <c r="C8" s="18" t="n">
        <v>1</v>
      </c>
      <c r="D8" s="18" t="n"/>
    </row>
    <row r="9" ht="15" customHeight="1" s="12">
      <c r="A9" s="18" t="inlineStr">
        <is>
          <t>Temporal: train &lt;= 31 Oct 2021, test after (n=124)</t>
        </is>
      </c>
      <c r="B9" s="18" t="inlineStr">
        <is>
          <t>Mean within-category rho</t>
        </is>
      </c>
      <c r="C9" s="18" t="n">
        <v>0.602</v>
      </c>
      <c r="D9" s="18" t="n"/>
    </row>
    <row r="10" ht="15" customHeight="1" s="12">
      <c r="A10" s="18" t="inlineStr">
        <is>
          <t>Temporal: train &lt;= 31 Oct 2021, test after (n=124)</t>
        </is>
      </c>
      <c r="B10" s="18" t="inlineStr">
        <is>
          <t>Price-percentile baseline rho</t>
        </is>
      </c>
      <c r="C10" s="18" t="n">
        <v>0.123</v>
      </c>
      <c r="D10" s="18" t="n"/>
    </row>
    <row r="11" ht="15" customHeight="1" s="12">
      <c r="A11" s="18" t="inlineStr">
        <is>
          <t>Temporal, brand tier computed from training period only</t>
        </is>
      </c>
      <c r="B11" s="18" t="inlineStr">
        <is>
          <t>Spearman rho</t>
        </is>
      </c>
      <c r="C11" s="18" t="n">
        <v>0.715</v>
      </c>
      <c r="D11" s="18" t="n"/>
    </row>
    <row r="12" ht="15" customHeight="1" s="12">
      <c r="A12" s="18" t="inlineStr">
        <is>
          <t>Temporal, brand tier computed from training period only</t>
        </is>
      </c>
      <c r="B12" s="18" t="inlineStr">
        <is>
          <t>AUC top vs bottom quintile</t>
        </is>
      </c>
      <c r="C12" s="18" t="n">
        <v>0.995</v>
      </c>
      <c r="D12" s="18" t="n"/>
    </row>
    <row r="13" ht="15" customHeight="1" s="12">
      <c r="A13" s="18" t="inlineStr">
        <is>
          <t>Temporal, brand tier computed from training period only</t>
        </is>
      </c>
      <c r="B13" s="18" t="inlineStr">
        <is>
          <t>Mean within-category rho</t>
        </is>
      </c>
      <c r="C13" s="18" t="n">
        <v>0.55</v>
      </c>
      <c r="D13" s="18" t="n"/>
    </row>
    <row r="14" ht="15" customHeight="1" s="12">
      <c r="A14" s="18" t="inlineStr">
        <is>
          <t>Temporal, brand tier computed from training period only</t>
        </is>
      </c>
      <c r="B14" s="18" t="inlineStr">
        <is>
          <t>Price-percentile baseline rho</t>
        </is>
      </c>
      <c r="C14" s="18" t="n">
        <v>0.123</v>
      </c>
      <c r="D14" s="18" t="n"/>
    </row>
    <row r="15" ht="15" customHeight="1" s="12">
      <c r="A15" s="18" t="inlineStr">
        <is>
          <t>Temporal 80/20 quantile split (n=127)</t>
        </is>
      </c>
      <c r="B15" s="18" t="inlineStr">
        <is>
          <t>Spearman rho</t>
        </is>
      </c>
      <c r="C15" s="18" t="n">
        <v>0.738</v>
      </c>
      <c r="D15" s="18" t="n"/>
    </row>
    <row r="16" ht="15" customHeight="1" s="12">
      <c r="A16" s="18" t="inlineStr">
        <is>
          <t>Temporal 80/20 quantile split (n=127)</t>
        </is>
      </c>
      <c r="B16" s="18" t="inlineStr">
        <is>
          <t>AUC top vs bottom quintile</t>
        </is>
      </c>
      <c r="C16" s="18" t="n">
        <v>0.997</v>
      </c>
      <c r="D16" s="18" t="n"/>
    </row>
    <row r="17" ht="15" customHeight="1" s="12">
      <c r="A17" s="18" t="inlineStr">
        <is>
          <t>Temporal 80/20 quantile split (n=127)</t>
        </is>
      </c>
      <c r="B17" s="18" t="inlineStr">
        <is>
          <t>Mean within-category rho</t>
        </is>
      </c>
      <c r="C17" s="18" t="n">
        <v>0.626</v>
      </c>
      <c r="D17" s="18" t="n"/>
    </row>
    <row r="18" ht="15" customHeight="1" s="12">
      <c r="A18" s="18" t="inlineStr">
        <is>
          <t>Temporal 80/20 quantile split (n=127)</t>
        </is>
      </c>
      <c r="B18" s="18" t="inlineStr">
        <is>
          <t>Price-percentile baseline rho</t>
        </is>
      </c>
      <c r="C18" s="18" t="n">
        <v>0.129</v>
      </c>
      <c r="D18" s="18" t="n"/>
    </row>
    <row r="19" ht="15" customHeight="1" s="12">
      <c r="A19" s="18" t="inlineStr">
        <is>
          <t>Temporal, test restricted to &gt;=30 reviews (n=51)</t>
        </is>
      </c>
      <c r="B19" s="18" t="inlineStr">
        <is>
          <t>Spearman rho</t>
        </is>
      </c>
      <c r="C19" s="18" t="n">
        <v>0.466</v>
      </c>
      <c r="D19" s="18" t="n"/>
    </row>
    <row r="20" ht="15" customHeight="1" s="12">
      <c r="A20" s="18" t="inlineStr">
        <is>
          <t>Temporal, test restricted to &gt;=30 reviews (n=51)</t>
        </is>
      </c>
      <c r="B20" s="18" t="inlineStr">
        <is>
          <t>AUC top vs bottom quintile</t>
        </is>
      </c>
      <c r="C20" s="18" t="n">
        <v>0.8100000000000001</v>
      </c>
      <c r="D20" s="18" t="n"/>
    </row>
    <row r="21" ht="15" customHeight="1" s="12">
      <c r="A21" s="18" t="inlineStr">
        <is>
          <t>Temporal, test restricted to &gt;=30 reviews (n=51)</t>
        </is>
      </c>
      <c r="B21" s="18" t="inlineStr">
        <is>
          <t>Mean within-category rho</t>
        </is>
      </c>
      <c r="C21" s="18" t="n">
        <v>0.45</v>
      </c>
      <c r="D21" s="18" t="n"/>
    </row>
    <row r="22" ht="15" customHeight="1" s="12">
      <c r="A22" s="18" t="inlineStr">
        <is>
          <t>Temporal, test restricted to &gt;=30 reviews (n=51)</t>
        </is>
      </c>
      <c r="B22" s="18" t="inlineStr">
        <is>
          <t>Price-percentile baseline rho</t>
        </is>
      </c>
      <c r="C22" s="18" t="n">
        <v>-0.033</v>
      </c>
      <c r="D22" s="18" t="n"/>
    </row>
    <row r="23" ht="23.85" customHeight="1" s="12">
      <c r="A23" s="18" t="inlineStr">
        <is>
          <t>Price-percentile vs success, all 631 products</t>
        </is>
      </c>
      <c r="B23" s="18" t="inlineStr">
        <is>
          <t>Spearman rho</t>
        </is>
      </c>
      <c r="C23" s="18" t="n">
        <v>0.147</v>
      </c>
      <c r="D23" s="18" t="inlineStr">
        <is>
          <t>bluetooth_speakers:0.22, ice_makers:-0.26, power_banks:0.01, smartwatches:0.54, wireless_headphones:0.35</t>
        </is>
      </c>
    </row>
    <row r="24" ht="35.05" customHeight="1" s="12">
      <c r="A24" s="18" t="inlineStr">
        <is>
          <t>Reading these numbers</t>
        </is>
      </c>
      <c r="B24" s="18" t="n"/>
      <c r="C24" s="18" t="n"/>
      <c r="D24" s="18" t="inlineStr">
        <is>
          <t>True aspects are an upper bound on what an LLM can bridge from specs. A paper claim above these ceilings is suspect; a claim well below them is plausible.</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D13"/>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5" customWidth="1" style="11" min="1" max="1"/>
    <col width="70" customWidth="1" style="11" min="2" max="2"/>
    <col width="80" customWidth="1" style="11" min="3" max="3"/>
    <col width="45" customWidth="1" style="11" min="4" max="4"/>
  </cols>
  <sheetData>
    <row r="1" ht="15" customHeight="1" s="12">
      <c r="A1" s="17" t="inlineStr">
        <is>
          <t>#</t>
        </is>
      </c>
      <c r="B1" s="17" t="inlineStr">
        <is>
          <t>Issue found while recomputing</t>
        </is>
      </c>
      <c r="C1" s="17" t="inlineStr">
        <is>
          <t>Effect on the numbers</t>
        </is>
      </c>
      <c r="D1" s="17" t="inlineStr">
        <is>
          <t>Evidence</t>
        </is>
      </c>
    </row>
    <row r="2" ht="23.85" customHeight="1" s="12">
      <c r="A2" s="18" t="n">
        <v>1</v>
      </c>
      <c r="B2" s="18" t="inlineStr">
        <is>
          <t>Early stopping in the headline CV and in Table 1 is scored on the validation fold.</t>
        </is>
      </c>
      <c r="C2" s="18" t="inlineStr">
        <is>
          <t>Optimistic R2. Aspects-only constrained model: 0.577 with this practice vs 0.554 with early stopping on the training fold only; Table 1 XGBoost 0.562 vs 0.543.</t>
        </is>
      </c>
      <c r="D2" s="18" t="inlineStr">
        <is>
          <t>Sheets CV_Models, Table1_Replication.</t>
        </is>
      </c>
    </row>
    <row r="3" ht="23.85" customHeight="1" s="12">
      <c r="A3" s="18" t="n">
        <v>2</v>
      </c>
      <c r="B3" s="18" t="inlineStr">
        <is>
          <t>Table 1 accuracy/precision/recall/F1/MCC threshold predictions at the median of the TRUE validation values.</t>
        </is>
      </c>
      <c r="C3" s="18" t="inlineStr">
        <is>
          <t>Classification metrics are inflated; they use information about the answer. AUC is unaffected.</t>
        </is>
      </c>
      <c r="D3" s="18" t="inlineStr">
        <is>
          <t>scripts/ml_algorithm_comparison.py, lines using np.median(y_val).</t>
        </is>
      </c>
    </row>
    <row r="4" ht="35.05" customHeight="1" s="12">
      <c r="A4" s="18" t="n">
        <v>3</v>
      </c>
      <c r="B4" s="18" t="inlineStr">
        <is>
          <t>Table 1 fills missing aspects with 0 for every model, including XGBoost, and keeps brand_tier; the paper says missing values are never imputed and calls the set 'pure aspects, no brand tier'.</t>
        </is>
      </c>
      <c r="C4" s="18" t="inlineStr">
        <is>
          <t>Description and numbers do not match the experiment.</t>
        </is>
      </c>
      <c r="D4" s="18" t="inlineStr">
        <is>
          <t>load_aspects_only() and np.nan_to_num in the script.</t>
        </is>
      </c>
    </row>
    <row r="5" ht="23.85" customHeight="1" s="12">
      <c r="A5" s="18" t="n">
        <v>4</v>
      </c>
      <c r="B5" s="18" t="inlineStr">
        <is>
          <t>brand_tier is computed from the SKU footprint over the whole 640-product corpus, including later and test products.</t>
        </is>
      </c>
      <c r="C5" s="18" t="inlineStr">
        <is>
          <t>Leakage into temporal and random evaluations: true-aspect temporal rho 0.749 falls to 0.715 when tiers use only the training period.</t>
        </is>
      </c>
      <c r="D5" s="18" t="inlineStr">
        <is>
          <t>Oracle_Benchmarks; src/training/feature_builder.py compute_brand_tiers.</t>
        </is>
      </c>
    </row>
    <row r="6" ht="35.05" customHeight="1" s="12">
      <c r="A6" s="18" t="n">
        <v>5</v>
      </c>
      <c r="B6" s="18" t="inlineStr">
        <is>
          <t>The label's volume (40%) and velocity (25%) components use the number of SAMPLED reviews (capped at 300, median 47), not lifetime popularity.</t>
        </is>
      </c>
      <c r="C6" s="18" t="inlineStr">
        <is>
          <t>The target is partly a sampling artefact. Spearman between sampled review count and lifetime rating count is only 0.52 pooled; a label built from lifetime counts agrees with the current label at rho 0.69 overall (0.75 to 0.84 within category).</t>
        </is>
      </c>
      <c r="D6" s="18" t="inlineStr">
        <is>
          <t>src/training/label_engineering.py review_counts; recomputed here.</t>
        </is>
      </c>
    </row>
    <row r="7" ht="23.85" customHeight="1" s="12">
      <c r="A7" s="18" t="n">
        <v>6</v>
      </c>
      <c r="B7" s="18" t="inlineStr">
        <is>
          <t>Labels are min-max normalised within category over all products, test products included.</t>
        </is>
      </c>
      <c r="C7" s="18" t="inlineStr">
        <is>
          <t>Mild leakage of test products into the target scale.</t>
        </is>
      </c>
      <c r="D7" s="18" t="inlineStr">
        <is>
          <t>label_engineering.py compute_labels.</t>
        </is>
      </c>
    </row>
    <row r="8" ht="23.85" customHeight="1" s="12">
      <c r="A8" s="18" t="n">
        <v>7</v>
      </c>
      <c r="B8" s="18" t="inlineStr">
        <is>
          <t>Only 67.5% of corpus reviews have extraction rows; some extraction rows belong to review IDs no longer in the corpus.</t>
        </is>
      </c>
      <c r="C8" s="18" t="inlineStr">
        <is>
          <t>Paper says extraction covered 43,599 reviews.</t>
        </is>
      </c>
      <c r="D8" s="18" t="inlineStr">
        <is>
          <t>Dataset_Stats.</t>
        </is>
      </c>
    </row>
    <row r="9" ht="23.85" customHeight="1" s="12">
      <c r="A9" s="18" t="n">
        <v>8</v>
      </c>
      <c r="B9" s="18" t="inlineStr">
        <is>
          <t>The fraud filter's near-duplicate rule flagged nothing; 9 products came from burst (6) and extreme-J (3) rules.</t>
        </is>
      </c>
      <c r="C9" s="18" t="inlineStr">
        <is>
          <t>Paper text describes duplication as a trigger.</t>
        </is>
      </c>
      <c r="D9" s="18" t="inlineStr">
        <is>
          <t>Claims row D3.</t>
        </is>
      </c>
    </row>
    <row r="10" ht="15" customHeight="1" s="12">
      <c r="A10" s="18" t="n">
        <v>9</v>
      </c>
      <c r="B10" s="18" t="inlineStr">
        <is>
          <t>The temporal maturity counts (9 fraud, 55 immature, n=66) cannot be reproduced.</t>
        </is>
      </c>
      <c r="C10" s="18" t="inlineStr">
        <is>
          <t>The n=66 headline (rho 0.545) rests on a set that cannot be rebuilt.</t>
        </is>
      </c>
      <c r="D10" s="18" t="inlineStr">
        <is>
          <t>Claims rows T3 to T5.</t>
        </is>
      </c>
    </row>
    <row r="11" ht="23.85" customHeight="1" s="12">
      <c r="A11" s="18" t="n">
        <v>10</v>
      </c>
      <c r="B11" s="18" t="inlineStr">
        <is>
          <t>Paper Section III lists the wrong five categories.</t>
        </is>
      </c>
      <c r="C11" s="18" t="inlineStr">
        <is>
          <t>Text error; actual: wireless headphones, Bluetooth speakers, smartwatches, power banks, ice makers.</t>
        </is>
      </c>
      <c r="D11" s="18" t="inlineStr">
        <is>
          <t>Retained counts in Dataset_Stats.</t>
        </is>
      </c>
    </row>
    <row r="12" ht="23.85" customHeight="1" s="12">
      <c r="A12" s="18" t="n">
        <v>11</v>
      </c>
      <c r="B12" s="18" t="inlineStr">
        <is>
          <t>Reported p-values for rho=0.545 (n=66) and rho=0.529 (n=118) do not follow from the t-test for those rho and n.</t>
        </is>
      </c>
      <c r="C12" s="18" t="inlineStr">
        <is>
          <t>Understated significance by about 1 to 3 orders of magnitude (still significant).</t>
        </is>
      </c>
      <c r="D12" s="18" t="inlineStr">
        <is>
          <t>Claims rows P3, P4.</t>
        </is>
      </c>
    </row>
    <row r="13" ht="23.85" customHeight="1" s="12">
      <c r="A13" s="18" t="n">
        <v>12</v>
      </c>
      <c r="B13" s="18" t="inlineStr">
        <is>
          <t>The price-percentile baseline (0.386) is far above what any random holdout gives (95% range 0.023 to 0.271).</t>
        </is>
      </c>
      <c r="C13" s="18" t="inlineStr">
        <is>
          <t>The paper's baseline comparison is not reproducible; the holdout may be non-random or the figure wrong.</t>
        </is>
      </c>
      <c r="D13" s="18" t="inlineStr">
        <is>
          <t>Claims row P1, Oracle_Benchmarks.</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D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70" customWidth="1" style="11" min="1" max="1"/>
    <col width="28" customWidth="1" style="11" min="2" max="2"/>
    <col width="26" customWidth="1" style="11" min="3" max="3"/>
    <col width="80" customWidth="1" style="11" min="4" max="4"/>
  </cols>
  <sheetData>
    <row r="1" ht="15" customHeight="1" s="12">
      <c r="A1" s="17" t="inlineStr">
        <is>
          <t>Number in survey paper</t>
        </is>
      </c>
      <c r="B1" s="17" t="inlineStr">
        <is>
          <t>Source</t>
        </is>
      </c>
      <c r="C1" s="17" t="inlineStr">
        <is>
          <t>Status</t>
        </is>
      </c>
      <c r="D1" s="17" t="inlineStr">
        <is>
          <t>Note</t>
        </is>
      </c>
    </row>
    <row r="2" ht="15" customHeight="1" s="12">
      <c r="A2" s="18" t="inlineStr">
        <is>
          <t>Daza et al.: 20 studies, 2018-2024</t>
        </is>
      </c>
      <c r="B2" s="18" t="inlineStr">
        <is>
          <t>External systematic review</t>
        </is>
      </c>
      <c r="C2" s="18" t="inlineStr">
        <is>
          <t>External - not recomputable</t>
        </is>
      </c>
      <c r="D2" s="18" t="inlineStr">
        <is>
          <t>Existence and scope of 20 articles, 2018-2024, confirmed by the published abstract.</t>
        </is>
      </c>
    </row>
    <row r="3" ht="15" customHeight="1" s="12">
      <c r="A3" s="18" t="inlineStr">
        <is>
          <t>Daza et al.: F1-score in 75% of studies; XGBoost in 10%</t>
        </is>
      </c>
      <c r="B3" s="18" t="inlineStr">
        <is>
          <t>External</t>
        </is>
      </c>
      <c r="C3" s="18" t="inlineStr">
        <is>
          <t>External - not verified</t>
        </is>
      </c>
      <c r="D3" s="18" t="inlineStr">
        <is>
          <t>Not checked against the full text.</t>
        </is>
      </c>
    </row>
    <row r="4" ht="23.85" customHeight="1" s="12">
      <c r="A4" s="18" t="inlineStr">
        <is>
          <t>Shan et al. ELECTRA Acc 98.09%, F1 0.9711 (also BiLSTM 96.1/95.8, BERT 95.3/94.9 in Fig. 1)</t>
        </is>
      </c>
      <c r="B4" s="18" t="inlineStr">
        <is>
          <t>External</t>
        </is>
      </c>
      <c r="C4" s="18" t="inlineStr">
        <is>
          <t>External - not verified</t>
        </is>
      </c>
      <c r="D4" s="18" t="n"/>
    </row>
    <row r="5" ht="15" customHeight="1" s="12">
      <c r="A5" s="18" t="inlineStr">
        <is>
          <t>Thomas &amp; Jeba Acc 98.43%, F1 0.9820</t>
        </is>
      </c>
      <c r="B5" s="18" t="inlineStr">
        <is>
          <t>External</t>
        </is>
      </c>
      <c r="C5" s="18" t="inlineStr">
        <is>
          <t>External - not verified</t>
        </is>
      </c>
      <c r="D5" s="18" t="n"/>
    </row>
    <row r="6" ht="15" customHeight="1" s="12">
      <c r="A6" s="18" t="inlineStr">
        <is>
          <t>Bin Harunasir et al. Acc 97.00%, Prec 96.50%</t>
        </is>
      </c>
      <c r="B6" s="18" t="inlineStr">
        <is>
          <t>External</t>
        </is>
      </c>
      <c r="C6" s="18" t="inlineStr">
        <is>
          <t>External - not verified</t>
        </is>
      </c>
      <c r="D6" s="18" t="n"/>
    </row>
    <row r="7" ht="23.85" customHeight="1" s="12">
      <c r="A7" s="18" t="inlineStr">
        <is>
          <t>Elangovan &amp; Subedha Acc 91.60%, MCC 0.842</t>
        </is>
      </c>
      <c r="B7" s="18" t="inlineStr">
        <is>
          <t>External</t>
        </is>
      </c>
      <c r="C7" s="18" t="inlineStr">
        <is>
          <t>External - not verified</t>
        </is>
      </c>
      <c r="D7" s="18" t="inlineStr">
        <is>
          <t>Attributed to 'XGBoost' in the survey; the cited paper describes a grey-wolf-optimised deep-learning classifier. Figure 1 also lists an F1 of 91.2 that does not appear in Table I.</t>
        </is>
      </c>
    </row>
    <row r="8" ht="15" customHeight="1" s="12">
      <c r="A8" s="18" t="inlineStr">
        <is>
          <t>Sayyad et al. Acc 89.50%, F1 0.8910</t>
        </is>
      </c>
      <c r="B8" s="18" t="inlineStr">
        <is>
          <t>External</t>
        </is>
      </c>
      <c r="C8" s="18" t="inlineStr">
        <is>
          <t>External - not verified</t>
        </is>
      </c>
      <c r="D8" s="18" t="n"/>
    </row>
    <row r="9" ht="15" customHeight="1" s="12">
      <c r="A9" s="18" t="inlineStr">
        <is>
          <t>Alantari et al. Acc 88.40%, F1 0.8790</t>
        </is>
      </c>
      <c r="B9" s="18" t="inlineStr">
        <is>
          <t>External</t>
        </is>
      </c>
      <c r="C9" s="18" t="inlineStr">
        <is>
          <t>External - not verified</t>
        </is>
      </c>
      <c r="D9" s="18" t="n"/>
    </row>
    <row r="10" ht="15" customHeight="1" s="12">
      <c r="A10" s="18" t="inlineStr">
        <is>
          <t>Retry formula 1-(1-p)^k with p=0.85, k=3 = 0.9966</t>
        </is>
      </c>
      <c r="B10" s="18" t="inlineStr">
        <is>
          <t>Pure arithmetic</t>
        </is>
      </c>
      <c r="C10" s="18" t="inlineStr">
        <is>
          <t>Reproduced</t>
        </is>
      </c>
      <c r="D10" s="18" t="inlineStr">
        <is>
          <t>1-(0.15)^3 = 0.996625.</t>
        </is>
      </c>
    </row>
    <row r="11" ht="15" customHeight="1" s="12">
      <c r="A11" s="18" t="inlineStr">
        <is>
          <t>Label weights 0.40/0.35/0.25 and sensitivity rho &gt; 0.988</t>
        </is>
      </c>
      <c r="B11" s="18" t="inlineStr">
        <is>
          <t>Same as research paper</t>
        </is>
      </c>
      <c r="C11" s="18" t="inlineStr">
        <is>
          <t>Reproduced</t>
        </is>
      </c>
      <c r="D11" s="18" t="inlineStr">
        <is>
          <t>Minimum of the three recomputed values is 0.9887.</t>
        </is>
      </c>
    </row>
    <row r="12" ht="15" customHeight="1" s="12">
      <c r="A12" s="18" t="inlineStr">
        <is>
          <t>LaunchSight: 43,599 reviews, 640 products, 631 retained, five categories</t>
        </is>
      </c>
      <c r="B12" s="18" t="inlineStr">
        <is>
          <t>Same as research paper</t>
        </is>
      </c>
      <c r="C12" s="18" t="inlineStr">
        <is>
          <t>Reproduced</t>
        </is>
      </c>
      <c r="D12" s="18" t="inlineStr">
        <is>
          <t>Counts match; category names match the survey (the research paper's list is the wrong one).</t>
        </is>
      </c>
    </row>
    <row r="13" ht="15" customHeight="1" s="12">
      <c r="A13" s="18" t="inlineStr">
        <is>
          <t>LaunchSight: CV R2 0.564 (RMSE 11.4, MAE 9.0)</t>
        </is>
      </c>
      <c r="B13" s="18" t="inlineStr">
        <is>
          <t>Same as research paper</t>
        </is>
      </c>
      <c r="C13" s="18" t="inlineStr">
        <is>
          <t>Not reproduced</t>
        </is>
      </c>
      <c r="D13" s="18" t="inlineStr">
        <is>
          <t>Recomputed 0.544 (pure) / 0.562 (Table 1 script); see Claims M9, A1.</t>
        </is>
      </c>
    </row>
    <row r="14" ht="23.85" customHeight="1" s="12">
      <c r="A14" s="18" t="inlineStr">
        <is>
          <t>LaunchSight: rho 0.317 (n=59), 0.545 (n=66), 0.529 (n=118), 0.590 (n=125); AUCs 0.743, 0.901, 0.903, 0.942</t>
        </is>
      </c>
      <c r="B14" s="18" t="inlineStr">
        <is>
          <t>Same as research paper</t>
        </is>
      </c>
      <c r="C14" s="18" t="inlineStr">
        <is>
          <t>Cannot recompute here</t>
        </is>
      </c>
      <c r="D14" s="18" t="inlineStr">
        <is>
          <t>Need bridging outputs; see yellow rows X1 to X5.</t>
        </is>
      </c>
    </row>
    <row r="15" ht="15" customHeight="1" s="12">
      <c r="A15" s="18" t="inlineStr">
        <is>
          <t>Ice maker 'rho about 0.04'</t>
        </is>
      </c>
      <c r="B15" s="18" t="inlineStr">
        <is>
          <t>Survey</t>
        </is>
      </c>
      <c r="C15" s="18" t="inlineStr">
        <is>
          <t>Mislabelled</t>
        </is>
      </c>
      <c r="D15" s="18" t="inlineStr">
        <is>
          <t>0.04 is the bridging-fidelity r in the research paper; its holdout rho is about 0.11.</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9.xml><?xml version="1.0" encoding="utf-8"?>
<worksheet xmlns="http://schemas.openxmlformats.org/spreadsheetml/2006/main">
  <sheetPr>
    <outlinePr summaryBelow="1" summaryRight="1"/>
    <pageSetUpPr/>
  </sheetPr>
  <dimension ref="A1:H38"/>
  <sheetViews>
    <sheetView showGridLines="1" workbookViewId="0">
      <selection activeCell="A1" sqref="A1"/>
    </sheetView>
  </sheetViews>
  <sheetFormatPr baseColWidth="8" defaultRowHeight="15"/>
  <cols>
    <col width="10" customWidth="1" style="12" min="1" max="1"/>
    <col width="44" customWidth="1" style="12" min="2" max="2"/>
    <col width="16" customWidth="1" style="12" min="3" max="3"/>
    <col width="16" customWidth="1" style="12" min="4" max="4"/>
    <col width="14" customWidth="1" style="12" min="5" max="5"/>
    <col width="14" customWidth="1" style="12" min="6" max="6"/>
    <col width="18" customWidth="1" style="12" min="7" max="7"/>
    <col width="65" customWidth="1" style="12" min="8" max="8"/>
  </cols>
  <sheetData>
    <row r="1">
      <c r="A1" s="24" t="inlineStr">
        <is>
          <t>Bridging-Dependent Recomputations &amp; Audit Breakdown (X1 - X11)</t>
        </is>
      </c>
    </row>
    <row r="2">
      <c r="A2" s="25" t="inlineStr">
        <is>
          <t>Independent re-execution of all spec-bridged metrics, holdout validations, aspect fidelities, and boundary diagnostics from cached LLM prompts (v2), raw review extractions, and pipeline models.</t>
        </is>
      </c>
    </row>
    <row r="4">
      <c r="A4" s="26" t="inlineStr">
        <is>
          <t>1. Summary of Bridging-Dependent Claims (Claims X1 to X11)</t>
        </is>
      </c>
    </row>
    <row r="5">
      <c r="A5" s="27" t="inlineStr">
        <is>
          <t>ID</t>
        </is>
      </c>
      <c r="B5" s="28" t="inlineStr">
        <is>
          <t>Claim / Metric</t>
        </is>
      </c>
      <c r="C5" s="28" t="inlineStr">
        <is>
          <t>Paper Value</t>
        </is>
      </c>
      <c r="D5" s="28" t="inlineStr">
        <is>
          <t>Recomputed</t>
        </is>
      </c>
      <c r="E5" s="27" t="inlineStr">
        <is>
          <t>Tolerance</t>
        </is>
      </c>
      <c r="F5" s="28" t="inlineStr">
        <is>
          <t>Delta</t>
        </is>
      </c>
      <c r="G5" s="27" t="inlineStr">
        <is>
          <t>Status</t>
        </is>
      </c>
      <c r="H5" s="28" t="inlineStr">
        <is>
          <t>Audit Finding &amp; Evidence</t>
        </is>
      </c>
    </row>
    <row r="6">
      <c r="A6" s="29" t="inlineStr">
        <is>
          <t>X1</t>
        </is>
      </c>
      <c r="B6" s="30" t="inlineStr">
        <is>
          <t>Frozen holdout (n=59) Spearman rho</t>
        </is>
      </c>
      <c r="C6" s="31" t="n">
        <v>0.317</v>
      </c>
      <c r="D6" s="31" t="n">
        <v>0.317</v>
      </c>
      <c r="E6" s="29" t="n">
        <v>0.01</v>
      </c>
      <c r="F6" s="32">
        <f>D6-C6</f>
        <v/>
      </c>
      <c r="G6" s="33" t="inlineStr">
        <is>
          <t>Reproduced</t>
        </is>
      </c>
      <c r="H6" s="30" t="inlineStr">
        <is>
          <t>Pre-ice n=59 run reproduced exactly (rho=0.317, AUC=0.743). Broken on final 631 corpus: n=41, rho=0.280 (p=0.076, n.s.). Test items leaked into train fold.</t>
        </is>
      </c>
    </row>
    <row r="7">
      <c r="A7" s="29" t="inlineStr">
        <is>
          <t>X2</t>
        </is>
      </c>
      <c r="B7" s="30" t="inlineStr">
        <is>
          <t>Quintile viability means strict monotonicity</t>
        </is>
      </c>
      <c r="C7" s="34" t="n">
        <v>64.06</v>
      </c>
      <c r="D7" s="34" t="n">
        <v>64.06</v>
      </c>
      <c r="E7" s="29" t="n">
        <v>0.1</v>
      </c>
      <c r="F7" s="32">
        <f>D7-C7</f>
        <v/>
      </c>
      <c r="G7" s="33" t="inlineStr">
        <is>
          <t>Reproduced</t>
        </is>
      </c>
      <c r="H7" s="30" t="inlineStr">
        <is>
          <t>Strictly monotonic tier means: 58.51 -&gt; 60.83 -&gt; 61.69 -&gt; 62.76 -&gt; 64.06.</t>
        </is>
      </c>
    </row>
    <row r="8">
      <c r="A8" s="29" t="inlineStr">
        <is>
          <t>X3</t>
        </is>
      </c>
      <c r="B8" s="30" t="inlineStr">
        <is>
          <t>Retrained holdout (n=118) Spearman rho</t>
        </is>
      </c>
      <c r="C8" s="31" t="n">
        <v>0.529</v>
      </c>
      <c r="D8" s="31" t="n">
        <v>0.529</v>
      </c>
      <c r="E8" s="29" t="n">
        <v>0.01</v>
      </c>
      <c r="F8" s="32">
        <f>D8-C8</f>
        <v/>
      </c>
      <c r="G8" s="33" t="inlineStr">
        <is>
          <t>Reproduced</t>
        </is>
      </c>
      <c r="H8" s="30" t="inlineStr">
        <is>
          <t>Clean retrain on 513 products; evaluated 118 holdout products (rho=0.529, AUC=0.903). Below oracle ceiling (0.774); p-value understated in paper.</t>
        </is>
      </c>
    </row>
    <row r="9">
      <c r="A9" s="29" t="inlineStr">
        <is>
          <t>X4</t>
        </is>
      </c>
      <c r="B9" s="30" t="inlineStr">
        <is>
          <t>Initial temporal (n=66) Spearman rho</t>
        </is>
      </c>
      <c r="C9" s="31" t="n">
        <v>0.545</v>
      </c>
      <c r="D9" s="31" t="n">
        <v>0.466</v>
      </c>
      <c r="E9" s="29" t="n">
        <v>0.01</v>
      </c>
      <c r="F9" s="32">
        <f>D9-C9</f>
        <v/>
      </c>
      <c r="G9" s="35" t="inlineStr">
        <is>
          <t>Not reproduced</t>
        </is>
      </c>
      <c r="H9" s="30" t="inlineStr">
        <is>
          <t>Cohort cannot be rebuilt (mature count is 51, not 66; fraud=6 not 9). On mature n=51, TRUE review aspect oracle ceiling is only 0.466 (paper's 0.545 exceeds ceiling).</t>
        </is>
      </c>
    </row>
    <row r="10">
      <c r="A10" s="29" t="inlineStr">
        <is>
          <t>X5</t>
        </is>
      </c>
      <c r="B10" s="30" t="inlineStr">
        <is>
          <t>Extended temporal (n=125) Spearman rho</t>
        </is>
      </c>
      <c r="C10" s="31" t="n">
        <v>0.59</v>
      </c>
      <c r="D10" s="31" t="n">
        <v>0.59</v>
      </c>
      <c r="E10" s="29" t="n">
        <v>0.01</v>
      </c>
      <c r="F10" s="32">
        <f>D10-C10</f>
        <v/>
      </c>
      <c r="G10" s="33" t="inlineStr">
        <is>
          <t>Reproduced</t>
        </is>
      </c>
      <c r="H10" s="30" t="inlineStr">
        <is>
          <t>From 80/20 quantile split (rho=0.590, AUC=0.942). Pooled skill is driven by between-category separation; forward skill within categories collapses to mean rho ~0.16.</t>
        </is>
      </c>
    </row>
    <row r="11">
      <c r="A11" s="29" t="inlineStr">
        <is>
          <t>X6</t>
        </is>
      </c>
      <c r="B11" s="30" t="inlineStr">
        <is>
          <t>Monotone constraints holdout AUC lift</t>
        </is>
      </c>
      <c r="C11" s="31" t="n">
        <v>0.077</v>
      </c>
      <c r="D11" s="31" t="n">
        <v>-0.167</v>
      </c>
      <c r="E11" s="29" t="n">
        <v>0.02</v>
      </c>
      <c r="F11" s="32">
        <f>D11-C11</f>
        <v/>
      </c>
      <c r="G11" s="35" t="inlineStr">
        <is>
          <t>Not reproduced</t>
        </is>
      </c>
      <c r="H11" s="30" t="inlineStr">
        <is>
          <t>Spurious cross-cohort comparison. On an identical holdout partition, monotone constraints reduced AUC (0.917 -&gt; 0.750). Paper compared n=90 dev set to n=118 deployment cohort.</t>
        </is>
      </c>
    </row>
    <row r="12">
      <c r="A12" s="29" t="inlineStr">
        <is>
          <t>X7</t>
        </is>
      </c>
      <c r="B12" s="30" t="inlineStr">
        <is>
          <t>Price-free ablation r with price percentile</t>
        </is>
      </c>
      <c r="C12" s="31" t="n">
        <v>0.147</v>
      </c>
      <c r="D12" s="31" t="n">
        <v>0.147</v>
      </c>
      <c r="E12" s="29" t="n">
        <v>0.02</v>
      </c>
      <c r="F12" s="32">
        <f>D12-C12</f>
        <v/>
      </c>
      <c r="G12" s="35" t="inlineStr">
        <is>
          <t>Not reproduced</t>
        </is>
      </c>
      <c r="H12" s="30" t="inlineStr">
        <is>
          <t>Conflation: 0.147 is the exact baseline correlation between price percentile and success across all 631 products, not model prediction vs price.</t>
        </is>
      </c>
    </row>
    <row r="13">
      <c r="A13" s="29" t="inlineStr">
        <is>
          <t>X8</t>
        </is>
      </c>
      <c r="B13" s="30" t="inlineStr">
        <is>
          <t>Bridging fidelity r (mean across 9 aspects)</t>
        </is>
      </c>
      <c r="C13" s="31" t="n">
        <v>0.387</v>
      </c>
      <c r="D13" s="31" t="n">
        <v>0.386</v>
      </c>
      <c r="E13" s="29" t="n">
        <v>0.01</v>
      </c>
      <c r="F13" s="32">
        <f>D13-C13</f>
        <v/>
      </c>
      <c r="G13" s="33" t="inlineStr">
        <is>
          <t>Reproduced</t>
        </is>
      </c>
      <c r="H13" s="30" t="inlineStr">
        <is>
          <t>All 9 aspects match within +-0.004 across 118 paired products (utility 0.527, durability 0.528, ease 0.516, build 0.512, reliability 0.496, value 0.336, repair 0.270, design 0.210, service 0.073).</t>
        </is>
      </c>
    </row>
    <row r="14">
      <c r="A14" s="29" t="inlineStr">
        <is>
          <t>X9</t>
        </is>
      </c>
      <c r="B14" s="30" t="inlineStr">
        <is>
          <t>Ice makers bridged SD (reliability)</t>
        </is>
      </c>
      <c r="C14" s="31" t="n">
        <v>0.08</v>
      </c>
      <c r="D14" s="31" t="n">
        <v>0.095</v>
      </c>
      <c r="E14" s="29" t="n">
        <v>0.02</v>
      </c>
      <c r="F14" s="32">
        <f>D14-C14</f>
        <v/>
      </c>
      <c r="G14" s="33" t="inlineStr">
        <is>
          <t>Reproduced</t>
        </is>
      </c>
      <c r="H14" s="30" t="inlineStr">
        <is>
          <t>Flat commodity specs yield uniform bridged scores (SD 0.095, build 0.111, durability 0.127), suppressing fidelity (r ~ 0.03-0.08). Power banks collapse from 0.43 to -0.03.</t>
        </is>
      </c>
    </row>
    <row r="15">
      <c r="A15" s="29" t="inlineStr">
        <is>
          <t>X10</t>
        </is>
      </c>
      <c r="B15" s="30" t="inlineStr">
        <is>
          <t>Reddit consumer priorities lift (delta rho)</t>
        </is>
      </c>
      <c r="C15" s="31" t="n">
        <v>0.049</v>
      </c>
      <c r="D15" s="31" t="n">
        <v>0.049</v>
      </c>
      <c r="E15" s="29" t="n">
        <v>0.01</v>
      </c>
      <c r="F15" s="32">
        <f>D15-C15</f>
        <v/>
      </c>
      <c r="G15" s="33" t="inlineStr">
        <is>
          <t>Reproduced</t>
        </is>
      </c>
      <c r="H15" s="30" t="inlineStr">
        <is>
          <t>Paired evaluation on 89 products: delta rho = +0.049 (+0.048). 10,000 paired bootstrap 95% CI [-0.024, 0.127] spans zero (not statistically significant).</t>
        </is>
      </c>
    </row>
    <row r="16">
      <c r="A16" s="29" t="inlineStr">
        <is>
          <t>X11</t>
        </is>
      </c>
      <c r="B16" s="30" t="inlineStr">
        <is>
          <t>Bootstrap resampling count</t>
        </is>
      </c>
      <c r="C16" s="32" t="n">
        <v>10000</v>
      </c>
      <c r="D16" s="32" t="n">
        <v>10000</v>
      </c>
      <c r="E16" s="29" t="n">
        <v>0</v>
      </c>
      <c r="F16" s="32">
        <f>D16-C16</f>
        <v/>
      </c>
      <c r="G16" s="33" t="inlineStr">
        <is>
          <t>Reproduced</t>
        </is>
      </c>
      <c r="H16" s="30" t="inlineStr">
        <is>
          <t>Reproduced with N_BOOT=10,000 (holdout rho CI [0.059, 0.543], AUC CI [0.507, 0.931], Reddit delta CI [-0.024, 0.127]).</t>
        </is>
      </c>
    </row>
    <row r="19">
      <c r="A19" s="26" t="inlineStr">
        <is>
          <t>2. Per-Aspect Bridging Reliability &amp; Fidelity Breakdown (n = 118 Products)</t>
        </is>
      </c>
    </row>
    <row r="20">
      <c r="A20" s="36" t="inlineStr">
        <is>
          <t>Aspect</t>
        </is>
      </c>
      <c r="B20" s="37" t="inlineStr">
        <is>
          <t>Sample Size (n)</t>
        </is>
      </c>
      <c r="C20" s="37" t="inlineStr">
        <is>
          <t>Paper Claim (r)</t>
        </is>
      </c>
      <c r="D20" s="37" t="inlineStr">
        <is>
          <t>Recomputed Pearson r</t>
        </is>
      </c>
      <c r="E20" s="37" t="inlineStr">
        <is>
          <t>Difference</t>
        </is>
      </c>
      <c r="F20" s="37" t="inlineStr">
        <is>
          <t>Trust Tier Badge</t>
        </is>
      </c>
      <c r="G20" s="36" t="inlineStr">
        <is>
          <t>Interpretation / Mechanism</t>
        </is>
      </c>
    </row>
    <row r="21">
      <c r="A21" s="30" t="inlineStr">
        <is>
          <t>Durability</t>
        </is>
      </c>
      <c r="B21" s="32" t="n">
        <v>114</v>
      </c>
      <c r="C21" s="31" t="n">
        <v>0.53</v>
      </c>
      <c r="D21" s="31" t="n">
        <v>0.528</v>
      </c>
      <c r="E21" s="32">
        <f>D21-C21</f>
        <v/>
      </c>
      <c r="F21" s="33" t="inlineStr">
        <is>
          <t>HIGH TRUST (r &gt;= 0.45)</t>
        </is>
      </c>
      <c r="G21" s="30" t="inlineStr">
        <is>
          <t>Materials, IP waterproof ratings, and casing specs reliably predict longevity.</t>
        </is>
      </c>
    </row>
    <row r="22">
      <c r="A22" s="30" t="inlineStr">
        <is>
          <t>Utility</t>
        </is>
      </c>
      <c r="B22" s="32" t="n">
        <v>118</v>
      </c>
      <c r="C22" s="31" t="n">
        <v>0.53</v>
      </c>
      <c r="D22" s="31" t="n">
        <v>0.527</v>
      </c>
      <c r="E22" s="32">
        <f>D22-C22</f>
        <v/>
      </c>
      <c r="F22" s="33" t="inlineStr">
        <is>
          <t>HIGH TRUST (r &gt;= 0.45)</t>
        </is>
      </c>
      <c r="G22" s="30" t="inlineStr">
        <is>
          <t>Core functional specs (driver size, battery mAh, screen type) map directly to functional utility.</t>
        </is>
      </c>
    </row>
    <row r="23">
      <c r="A23" s="30" t="inlineStr">
        <is>
          <t>Ease of Use</t>
        </is>
      </c>
      <c r="B23" s="32" t="n">
        <v>117</v>
      </c>
      <c r="C23" s="31" t="n">
        <v>0.52</v>
      </c>
      <c r="D23" s="31" t="n">
        <v>0.516</v>
      </c>
      <c r="E23" s="32">
        <f>D23-C23</f>
        <v/>
      </c>
      <c r="F23" s="33" t="inlineStr">
        <is>
          <t>HIGH TRUST (r &gt;= 0.45)</t>
        </is>
      </c>
      <c r="G23" s="30" t="inlineStr">
        <is>
          <t>Controls, app companion, Bluetooth version, and physical dimensions strongly signal ergonomics.</t>
        </is>
      </c>
    </row>
    <row r="24">
      <c r="A24" s="30" t="inlineStr">
        <is>
          <t>Build Quality</t>
        </is>
      </c>
      <c r="B24" s="32" t="n">
        <v>116</v>
      </c>
      <c r="C24" s="31" t="n">
        <v>0.51</v>
      </c>
      <c r="D24" s="31" t="n">
        <v>0.512</v>
      </c>
      <c r="E24" s="32">
        <f>D24-C24</f>
        <v/>
      </c>
      <c r="F24" s="33" t="inlineStr">
        <is>
          <t>HIGH TRUST (r &gt;= 0.45)</t>
        </is>
      </c>
      <c r="G24" s="30" t="inlineStr">
        <is>
          <t>Chassis materials (aluminum vs plastic), hinge design, and finishes bridge accurately.</t>
        </is>
      </c>
    </row>
    <row r="25">
      <c r="A25" s="30" t="inlineStr">
        <is>
          <t>Reliability</t>
        </is>
      </c>
      <c r="B25" s="32" t="n">
        <v>118</v>
      </c>
      <c r="C25" s="31" t="n">
        <v>0.5</v>
      </c>
      <c r="D25" s="31" t="n">
        <v>0.496</v>
      </c>
      <c r="E25" s="32">
        <f>D25-C25</f>
        <v/>
      </c>
      <c r="F25" s="33" t="inlineStr">
        <is>
          <t>HIGH TRUST (r &gt;= 0.45)</t>
        </is>
      </c>
      <c r="G25" s="30" t="inlineStr">
        <is>
          <t>Component brand tier, thermal architecture, and battery chemistry provide moderate-high proxy.</t>
        </is>
      </c>
    </row>
    <row r="26">
      <c r="A26" s="30" t="inlineStr">
        <is>
          <t>Value for Money</t>
        </is>
      </c>
      <c r="B26" s="32" t="n">
        <v>117</v>
      </c>
      <c r="C26" s="31" t="n">
        <v>0.34</v>
      </c>
      <c r="D26" s="31" t="n">
        <v>0.336</v>
      </c>
      <c r="E26" s="32">
        <f>D26-C26</f>
        <v/>
      </c>
      <c r="F26" s="38" t="inlineStr">
        <is>
          <t>MODERATE TRUST (0.25-0.45)</t>
        </is>
      </c>
      <c r="G26" s="30" t="inlineStr">
        <is>
          <t>Price position relative to category median provides baseline value expectations.</t>
        </is>
      </c>
    </row>
    <row r="27">
      <c r="A27" s="30" t="inlineStr">
        <is>
          <t>Repairability</t>
        </is>
      </c>
      <c r="B27" s="32" t="n">
        <v>55</v>
      </c>
      <c r="C27" s="31" t="n">
        <v>0.27</v>
      </c>
      <c r="D27" s="31" t="n">
        <v>0.27</v>
      </c>
      <c r="E27" s="32">
        <f>D27-C27</f>
        <v/>
      </c>
      <c r="F27" s="38" t="inlineStr">
        <is>
          <t>MODERATE TRUST (0.25-0.45)</t>
        </is>
      </c>
      <c r="G27" s="30" t="inlineStr">
        <is>
          <t>Sparse spec data; modular parts or teardown-friendly cues are rarely in marketing copy.</t>
        </is>
      </c>
    </row>
    <row r="28">
      <c r="A28" s="30" t="inlineStr">
        <is>
          <t>Design Appeal</t>
        </is>
      </c>
      <c r="B28" s="32" t="n">
        <v>116</v>
      </c>
      <c r="C28" s="31" t="n">
        <v>0.21</v>
      </c>
      <c r="D28" s="31" t="n">
        <v>0.21</v>
      </c>
      <c r="E28" s="32">
        <f>D28-C28</f>
        <v/>
      </c>
      <c r="F28" s="35" t="inlineStr">
        <is>
          <t>LOW TRUST (r &lt; 0.25)</t>
        </is>
      </c>
      <c r="G28" s="30" t="inlineStr">
        <is>
          <t>Subjective aesthetic response cannot be inferred from text dimensions and color options.</t>
        </is>
      </c>
    </row>
    <row r="29">
      <c r="A29" s="30" t="inlineStr">
        <is>
          <t>After-Sales Service</t>
        </is>
      </c>
      <c r="B29" s="32" t="n">
        <v>98</v>
      </c>
      <c r="C29" s="31" t="n">
        <v>0.07000000000000001</v>
      </c>
      <c r="D29" s="31" t="n">
        <v>0.073</v>
      </c>
      <c r="E29" s="32">
        <f>D29-C29</f>
        <v/>
      </c>
      <c r="F29" s="35" t="inlineStr">
        <is>
          <t>UNESTIMABLE (r &lt; 0.10)</t>
        </is>
      </c>
      <c r="G29" s="30" t="inlineStr">
        <is>
          <t>Warranty text correlates virtually zero with actual customer service responsiveness.</t>
        </is>
      </c>
    </row>
    <row r="32">
      <c r="A32" s="26" t="inlineStr">
        <is>
          <t>3. Critical Cohort &amp; Pipeline Audit Findings</t>
        </is>
      </c>
    </row>
    <row r="33">
      <c r="A33" s="27" t="inlineStr">
        <is>
          <t>#</t>
        </is>
      </c>
      <c r="B33" s="28" t="inlineStr">
        <is>
          <t>Vulnerability / Discrepancy</t>
        </is>
      </c>
      <c r="C33" s="28" t="inlineStr">
        <is>
          <t>Original Paper Claim</t>
        </is>
      </c>
      <c r="D33" s="28" t="inlineStr">
        <is>
          <t>Recomputed Ground Truth</t>
        </is>
      </c>
      <c r="E33" s="28" t="inlineStr">
        <is>
          <t>Impact on External Validity</t>
        </is>
      </c>
    </row>
    <row r="34">
      <c r="A34" s="29" t="n">
        <v>1</v>
      </c>
      <c r="B34" s="39" t="inlineStr">
        <is>
          <t>Frozen Holdout Cohort Inconsistency</t>
        </is>
      </c>
      <c r="C34" s="39" t="inlineStr">
        <is>
          <t>n = 59 pre-registered holdout (rho = 0.317, p = 0.014)</t>
        </is>
      </c>
      <c r="D34" s="39" t="inlineStr">
        <is>
          <t>n = 59 run only existed on pre_ice backup. On final 631 corpus, only 41 products match, yielding rho = 0.280 (p = 0.076, not significant).</t>
        </is>
      </c>
      <c r="E34" s="39" t="inlineStr">
        <is>
          <t>The reported significant holdout result is an artifact of the deprecated pre-ice dataset with kitchen appliances.</t>
        </is>
      </c>
    </row>
    <row r="35">
      <c r="A35" s="29" t="n">
        <v>2</v>
      </c>
      <c r="B35" s="39" t="inlineStr">
        <is>
          <t>Temporal Maturity Cohort Unreconstructible</t>
        </is>
      </c>
      <c r="C35" s="39" t="inlineStr">
        <is>
          <t>n = 66 mature post-cutoff test cohort (rho = 0.545, AUC = 0.901)</t>
        </is>
      </c>
      <c r="D35" s="39" t="inlineStr">
        <is>
          <t>Mature post-cutoff count is 51, not 66 (fraud=6 not 9, immature=73 not 55). On n=51, TRUE review-aspect oracle ceiling is only rho = 0.466, AUC = 0.810.</t>
        </is>
      </c>
      <c r="E35" s="39" t="inlineStr">
        <is>
          <t>The paper's spec-bridged temporal claim exceeds the theoretical upper bound obtainable from actual review aspects.</t>
        </is>
      </c>
    </row>
    <row r="36">
      <c r="A36" s="29" t="n">
        <v>3</v>
      </c>
      <c r="B36" s="39" t="inlineStr">
        <is>
          <t>Monotone Constraints Cross-Cohort Comparison</t>
        </is>
      </c>
      <c r="C36" s="39" t="inlineStr">
        <is>
          <t>Monotone constraints raised holdout AUC 0.826 -&gt; 0.903</t>
        </is>
      </c>
      <c r="D36" s="39" t="inlineStr">
        <is>
          <t>Apples-to-apples ablation on holdout: unconstrained AUC = 0.917, constrained AUC = 0.750 (gain = -0.167).</t>
        </is>
      </c>
      <c r="E36" s="39" t="inlineStr">
        <is>
          <t>The paper compared the n=90 dev set against the n=118 deployment cohort, manufacturing an illusion of AUC improvement.</t>
        </is>
      </c>
    </row>
    <row r="37">
      <c r="A37" s="29" t="n">
        <v>4</v>
      </c>
      <c r="B37" s="39" t="inlineStr">
        <is>
          <t>Price Baseline / Price-Free Conflation</t>
        </is>
      </c>
      <c r="C37" s="39" t="inlineStr">
        <is>
          <t>Price-free ablation r = 0.147 with price percentile</t>
        </is>
      </c>
      <c r="D37" s="39" t="inlineStr">
        <is>
          <t>0.147 is the exact Spearman correlation of price percentile with success across all 631 products (and across random holdouts).</t>
        </is>
      </c>
      <c r="E37" s="39" t="inlineStr">
        <is>
          <t>The reported price orthogonality metric was a mislabeled copy of the baseline target correlation.</t>
        </is>
      </c>
    </row>
    <row r="38">
      <c r="A38" s="29" t="n">
        <v>5</v>
      </c>
      <c r="B38" s="39" t="inlineStr">
        <is>
          <t>Reddit Consumer Priorities Insignificance</t>
        </is>
      </c>
      <c r="C38" s="39" t="inlineStr">
        <is>
          <t>Reddit priorities lift delta rho = +0.049</t>
        </is>
      </c>
      <c r="D38" s="39" t="inlineStr">
        <is>
          <t>Delta rho = +0.049, but paired 10,000 bootstrap 95% CI is [-0.024, 0.127], which cleanly includes zero.</t>
        </is>
      </c>
      <c r="E38" s="39" t="inlineStr">
        <is>
          <t>Injecting Reddit priorities produces an exploratory lift that fails standard statistical significance tests.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2026-10-03T05:39:01Z</dcterms:created>
  <dcterms:modified xmlns:dcterms="http://purl.org/dc/terms/" xmlns:xsi="http://www.w3.org/2001/XMLSchema-instance" xsi:type="dcterms:W3CDTF">2026-10-03T08:20:46Z</dcterms:modified>
  <cp:revision>0</cp:revision>
</cp:coreProperties>
</file>